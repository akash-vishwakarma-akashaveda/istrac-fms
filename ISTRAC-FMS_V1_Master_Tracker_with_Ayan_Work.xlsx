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YAN SHARMA\Desktop\"/>
    </mc:Choice>
  </mc:AlternateContent>
  <xr:revisionPtr revIDLastSave="0" documentId="8_{EEB6E12F-0A38-44AB-AC7B-2DE498C8F7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Backend V1" sheetId="2" r:id="rId2"/>
    <sheet name="Architecture Additions" sheetId="3" r:id="rId3"/>
    <sheet name="Existing Phase1" sheetId="4" r:id="rId4"/>
    <sheet name="Scope &amp; Decisions" sheetId="5" r:id="rId5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0" i="1"/>
  <c r="E19" i="1"/>
  <c r="E18" i="1"/>
  <c r="B18" i="1"/>
  <c r="E17" i="1"/>
  <c r="B17" i="1"/>
  <c r="E16" i="1"/>
  <c r="B16" i="1"/>
  <c r="E15" i="1"/>
  <c r="B15" i="1"/>
  <c r="E14" i="1"/>
  <c r="B14" i="1"/>
  <c r="E13" i="1"/>
  <c r="B13" i="1"/>
  <c r="E10" i="1"/>
  <c r="E9" i="1"/>
  <c r="B8" i="1"/>
  <c r="B9" i="1" s="1"/>
  <c r="B7" i="1"/>
  <c r="B6" i="1"/>
  <c r="H16" i="1" s="1"/>
  <c r="H18" i="1" s="1"/>
  <c r="B5" i="1"/>
  <c r="H15" i="1" s="1"/>
  <c r="H17" i="1" s="1"/>
</calcChain>
</file>

<file path=xl/sharedStrings.xml><?xml version="1.0" encoding="utf-8"?>
<sst xmlns="http://schemas.openxmlformats.org/spreadsheetml/2006/main" count="1447" uniqueCount="744">
  <si>
    <t>ISTRAC-FMS · V1 Backend Master Tracker</t>
  </si>
  <si>
    <t>Primary execution source: Backend V1 Complete DOCX; Architecture v2.1 supplies supplemental requirements where V1 is silent. No deadline is assumed.</t>
  </si>
  <si>
    <t>KPI</t>
  </si>
  <si>
    <t>Value</t>
  </si>
  <si>
    <t>Current Phase 1 tracker</t>
  </si>
  <si>
    <t>Tracker notes</t>
  </si>
  <si>
    <t>Backend V1 tasks (actual rows)</t>
  </si>
  <si>
    <t>Existing tasks</t>
  </si>
  <si>
    <t>Architecture additions</t>
  </si>
  <si>
    <t>Backend V1 story points (actual rows)</t>
  </si>
  <si>
    <t>Existing tasks done</t>
  </si>
  <si>
    <t>Scope/decision items</t>
  </si>
  <si>
    <t>Backend tasks Done</t>
  </si>
  <si>
    <t>Existing SP</t>
  </si>
  <si>
    <t>Source V1 header says</t>
  </si>
  <si>
    <t>72 tasks / 168 SP</t>
  </si>
  <si>
    <t>Backend SP Done</t>
  </si>
  <si>
    <t>Existing SP completed</t>
  </si>
  <si>
    <t>Section tables sum to</t>
  </si>
  <si>
    <t>80 tasks / 197 SP</t>
  </si>
  <si>
    <t>Backend completion %</t>
  </si>
  <si>
    <t>Existing task completion %</t>
  </si>
  <si>
    <t>Operational baseline</t>
  </si>
  <si>
    <t>80 tasks / 185 task-row SP</t>
  </si>
  <si>
    <t>Existing SP completion %</t>
  </si>
  <si>
    <t>Backend status</t>
  </si>
  <si>
    <t>Tasks</t>
  </si>
  <si>
    <t>Backend section</t>
  </si>
  <si>
    <t>SP</t>
  </si>
  <si>
    <t>Control check</t>
  </si>
  <si>
    <t>Done</t>
  </si>
  <si>
    <t>0 · Infrastructure &amp; Project Setup</t>
  </si>
  <si>
    <t>V1 header task count</t>
  </si>
  <si>
    <t>Partially Done</t>
  </si>
  <si>
    <t>1 · Authentication &amp; Sessions</t>
  </si>
  <si>
    <t>V1 header story points</t>
  </si>
  <si>
    <t>In Progress</t>
  </si>
  <si>
    <t>2 · User Management</t>
  </si>
  <si>
    <t>Task-row task count</t>
  </si>
  <si>
    <t>Needs Rework</t>
  </si>
  <si>
    <t>3 · Department Management</t>
  </si>
  <si>
    <t>Task-row story points</t>
  </si>
  <si>
    <t>Todo</t>
  </si>
  <si>
    <t>4 · File Management</t>
  </si>
  <si>
    <t>Task count difference vs header</t>
  </si>
  <si>
    <t>Scope Review</t>
  </si>
  <si>
    <t>5 · Browse &amp; Search</t>
  </si>
  <si>
    <t>SP difference vs header</t>
  </si>
  <si>
    <t>6 · Notifications</t>
  </si>
  <si>
    <t>7 · CMS</t>
  </si>
  <si>
    <t>How to use: update Status, Notes, Owner/Week as work progresses. The latest uploaded Phase 1 tracker (by Ayan) is preserved in Existing Phase1 and is the baseline used for current evidence mapping.</t>
  </si>
  <si>
    <t>Current Phase 1: 45 tasks / 136 SP / 35 done / 107 SP completed.</t>
  </si>
  <si>
    <t>Backend V1 remains the main execution tracker; Architecture Additions captures requirements not fully represented in the V1 task list.</t>
  </si>
  <si>
    <t>9 · Health &amp; Monitoring</t>
  </si>
  <si>
    <t>10 · WebSocket Server</t>
  </si>
  <si>
    <t>11 · Middleware (Cross-cutting)</t>
  </si>
  <si>
    <t>12 · Core Services (Business Logic)</t>
  </si>
  <si>
    <t>Status legend: Done = verified by current tracker evidence; Partially Done = evidence exists but V1 acceptance is not fully demonstrated; Needs Rework = current work conflicts with V1; Scope Review = architecture requirement may conflict with or extend V1 scope; Todo = not evidenced yet.</t>
  </si>
  <si>
    <t>ID</t>
  </si>
  <si>
    <t>Section</t>
  </si>
  <si>
    <t>Method / Task</t>
  </si>
  <si>
    <t>Description</t>
  </si>
  <si>
    <t>Acceptance Criteria</t>
  </si>
  <si>
    <t>Role</t>
  </si>
  <si>
    <t>Priority</t>
  </si>
  <si>
    <t>Owner</t>
  </si>
  <si>
    <t>Spec Week</t>
  </si>
  <si>
    <t>Tracker Status</t>
  </si>
  <si>
    <t>Current Evidence / Notes</t>
  </si>
  <si>
    <t>IN-001</t>
  </si>
  <si>
    <t>INFRA  Project scaffold</t>
  </si>
  <si>
    <t>Create src/api/, src/services/, src/repositories/, src/middleware/ Clean Architecture folders. TypeScript strict mode. ESLint + Prettier pre-commit hooks.</t>
  </si>
  <si>
    <t>tsc --noEmit passes with zero errors. eslint . passes with zero warnings.</t>
  </si>
  <si>
    <t>BOTH</t>
  </si>
  <si>
    <t>P1</t>
  </si>
  <si>
    <t>FS</t>
  </si>
  <si>
    <t>Wk 1</t>
  </si>
  <si>
    <t>IN-002</t>
  </si>
  <si>
    <t>INFRA  MySQL schema — all 9 tables</t>
  </si>
  <si>
    <t>Create migration files for: users, departments, user_dept_access, hdd_nodes, file_versions, audit_logs, cms_blocks, notifications, system_config.</t>
  </si>
  <si>
    <t>All FKs, indexes, and ENUMs correct. migration up and down both succeed without errors.</t>
  </si>
  <si>
    <t>DB-001/DB-002 are Done in the latest tracker, but they are PostgreSQL-oriented; V1 requires MySQL 8.0 and the exact 9-table migration set.</t>
  </si>
  <si>
    <t>IN-003</t>
  </si>
  <si>
    <t>INFRA  MySQL connection pool + query builder</t>
  </si>
  <si>
    <t>Configure mysql2 connection pool. Create typed query wrapper. Set up db-migrate for schema versioning.</t>
  </si>
  <si>
    <t>Pool connects to MySQL on startup. Health check reports db: ok. migrate up runs all pending migrations.</t>
  </si>
  <si>
    <t>DB-002 is Done in the latest tracker, but V1 requires mysql2 pool + typed query wrapper + db-migrate; current tracker specifies Prisma/Knex.</t>
  </si>
  <si>
    <t>IN-004</t>
  </si>
  <si>
    <t>INFRA  Redis connection (blacklist + pub-sub)</t>
  </si>
  <si>
    <t>Redis client for token blacklist (SET with TTL) and pub-sub channels (cms.update, notification.broadcast, hdd.sync).</t>
  </si>
  <si>
    <t>Health check reports redis: ok. SET/GET/DEL work. Publish on channel received by subscriber in same process.</t>
  </si>
  <si>
    <t>DB-005 is Done: Redis setup + pub/sub. V1 acceptance also requires token-blacklist SET/GET/DEL behavior and the specified channels, which are not explicitly demonstrated in the tracker.</t>
  </si>
  <si>
    <t>IN-005</t>
  </si>
  <si>
    <t>INFRA  Environment config (.env + validation)</t>
  </si>
  <si>
    <t>.env.example documents every key: DB_URL, REDIS_URL, JWT_SECRET, REFRESH_SECRET, SMTP_*, HDD_MOUNT_ROOT, UPLOAD_MAX_BYTES.</t>
  </si>
  <si>
    <t>App fails fast with a clear error if any required key is missing. No secrets hardcoded anywhere in source.</t>
  </si>
  <si>
    <t>DB-004 is Done: environment/secrets configuration and fail-fast .env schema work.</t>
  </si>
  <si>
    <t>IN-006</t>
  </si>
  <si>
    <t>INFRA  Structured logging (pino) + global error handler</t>
  </si>
  <si>
    <t>JSON-structured logs with fields: timestamp, level, requestId, userId, method, path, statusCode, durationMs, error. Global Express error handler catches all unhandled errors.</t>
  </si>
  <si>
    <t>Logs are valid JSON. Unhandled errors return { error: { code, message } } and never expose stack traces in production.</t>
  </si>
  <si>
    <t>DB-008 is still Todo in the latest tracker; no completed evidence for the V1 pino structured fields + global error handler acceptance criteria.</t>
  </si>
  <si>
    <t>IN-007</t>
  </si>
  <si>
    <t>INFRA  OpenAPI 3.0 spec + Swagger UI at /api/docs</t>
  </si>
  <si>
    <t>swagger-jsdoc or manual spec covering all 45 endpoints. Swagger UI served at /api/docs (intranet only).</t>
  </si>
  <si>
    <t>/api/docs loads without 404. All endpoints present with request/response schemas.</t>
  </si>
  <si>
    <t>P2</t>
  </si>
  <si>
    <t>Wk 2</t>
  </si>
  <si>
    <t>DB-007 is Done: API mock/contract layer. V1 acceptance requires Swagger UI at /api/docs covering all 45 endpoints with request/response schemas; not fully demonstrated.</t>
  </si>
  <si>
    <t>IN-008</t>
  </si>
  <si>
    <t>INFRA  HDD mount root validation on startup</t>
  </si>
  <si>
    <t>On app start, verify MOUNT_ROOT (/mnt/istrac-data) exists and is writable. If not, log FATAL and exit.</t>
  </si>
  <si>
    <t>App exits with code 1 and clear message if HDD not mounted. /health endpoint reports hdd: unavailable if mount disappears at runtime.</t>
  </si>
  <si>
    <t>AU-001</t>
  </si>
  <si>
    <t>POST  /auth/register</t>
  </si>
  <si>
    <t>New user submits form. Account created with status=PENDING. Admin notified.</t>
  </si>
  <si>
    <t>201 + { userId }. Duplicate email or employee_id → 409. Admin receives in-app notification + email via EmailService.</t>
  </si>
  <si>
    <t>PUBLIC</t>
  </si>
  <si>
    <t>BE</t>
  </si>
  <si>
    <t>AU-002</t>
  </si>
  <si>
    <t>POST  /auth/login</t>
  </si>
  <si>
    <t>Validate email + bcrypt password (cost 12). Issue JWT access (15 min) in response body + httpOnly refresh cookie (7 day).</t>
  </si>
  <si>
    <t>Wrong creds → 401 with attempts_remaining. 5 failures → 15-min lockout stored in Redis. temp_pass=true → 200 with force_change flag.</t>
  </si>
  <si>
    <t>AU-003</t>
  </si>
  <si>
    <t>POST  /auth/refresh</t>
  </si>
  <si>
    <t>Validate refresh token from httpOnly cookie. Issue new access token. Rotate refresh token (old immediately blacklisted in Redis).</t>
  </si>
  <si>
    <t>Expired/blacklisted token → 401. New access + refresh tokens issued. Old refresh token added to Redis blacklist with TTL.</t>
  </si>
  <si>
    <t>AU-004</t>
  </si>
  <si>
    <t>POST  /auth/logout</t>
  </si>
  <si>
    <t>Add current refresh token to Redis blacklist. Clear httpOnly cookie.</t>
  </si>
  <si>
    <t>Token blacklisted. Cookie cleared (Max-Age=0). Subsequent refresh with same token → 401.</t>
  </si>
  <si>
    <t>AU-005</t>
  </si>
  <si>
    <t>POST  /auth/change-password</t>
  </si>
  <si>
    <t>Authenticated user changes own password. Validates old password + policy (10 chars, upper/lower/digit/special). Invalidates ALL sessions.</t>
  </si>
  <si>
    <t>bcrypt verify old password. Policy enforced. Last 5 hashes checked (no reuse). All refresh tokens for this user blacklisted. Audit logged.</t>
  </si>
  <si>
    <t>AU-006</t>
  </si>
  <si>
    <t>POST  /auth/forgot-password</t>
  </si>
  <si>
    <t>Accept email. If account exists, send 6-digit OTP via SMTP. Always return 200 (no enumeration).</t>
  </si>
  <si>
    <t>OTP stored as bcrypt hash in Redis with 15-min TTL. Max 3 OTP requests/hour per email (Redis counter). Email sent via EmailService.</t>
  </si>
  <si>
    <t>AU-007</t>
  </si>
  <si>
    <t>POST  /auth/reset-password</t>
  </si>
  <si>
    <t>Validate OTP from Redis + set new password. Invalidate all sessions.</t>
  </si>
  <si>
    <t>Wrong/expired OTP → 400. Valid OTP is single-use (deleted from Redis on use). All sessions blacklisted. Audit logged.</t>
  </si>
  <si>
    <t>AU-008</t>
  </si>
  <si>
    <t>GET  /auth/me</t>
  </si>
  <si>
    <t>Return current user profile (id, name, email, role, status, depts).</t>
  </si>
  <si>
    <t>401 if token missing/invalid. Response includes list of assigned department IDs. Password never returned.</t>
  </si>
  <si>
    <t>AU-009</t>
  </si>
  <si>
    <t>PATCH  /auth/me</t>
  </si>
  <si>
    <t>Update own name or notification_opt_in preference.</t>
  </si>
  <si>
    <t>Cannot change role, status, email, or employee_id via this endpoint. Returns updated profile. Audit logged.</t>
  </si>
  <si>
    <t>Wk 3</t>
  </si>
  <si>
    <t>UM-001</t>
  </si>
  <si>
    <t>GET  /admin/users</t>
  </si>
  <si>
    <t>Paginated list of all users with role, status, assigned departments.</t>
  </si>
  <si>
    <t>Supports ?status=PENDING|ACTIVE|SUSPENDED&amp;search=name_or_email&amp;page=&amp;limit=20. Cursor-based pagination envelope. 403 if non-admin.</t>
  </si>
  <si>
    <t>ADMIN</t>
  </si>
  <si>
    <t>UM-002</t>
  </si>
  <si>
    <t>GET  /admin/users/pending</t>
  </si>
  <si>
    <t>List all PENDING users awaiting approval. Used by Approval Queue.</t>
  </si>
  <si>
    <t>Returns pending users ordered by createdAt ascending (oldest first). Includes name, email, employee_id, dept_preference, reason_for_access.</t>
  </si>
  <si>
    <t>UM-003</t>
  </si>
  <si>
    <t>POST  /admin/users/:id/approve</t>
  </si>
  <si>
    <t>Approve a PENDING user. Generate 8-char temp password. Send approval email.</t>
  </si>
  <si>
    <t>User status → ACTIVE. temp_pass = true. Email sent with temp password via EmailService. In-app notification sent to user. Audit logged.</t>
  </si>
  <si>
    <t>UM-004</t>
  </si>
  <si>
    <t>POST  /admin/users/:id/reject</t>
  </si>
  <si>
    <t>Reject a PENDING user. Body: { reason }.</t>
  </si>
  <si>
    <t>User status → REJECTED. Reason emailed to user. In-app notification sent. Audit logged. reason field required.</t>
  </si>
  <si>
    <t>UM-005</t>
  </si>
  <si>
    <t>POST  /admin/users/:id/suspend</t>
  </si>
  <si>
    <t>Suspend an ACTIVE user. Immediately invalidate all their sessions.</t>
  </si>
  <si>
    <t>User status → SUSPENDED. All refresh tokens blacklisted in Redis. In-app notification sent to user. Audit logged.</t>
  </si>
  <si>
    <t>UM-006</t>
  </si>
  <si>
    <t>POST  /admin/users/:id/force-logout</t>
  </si>
  <si>
    <t>Instantly invalidate all sessions for a user without changing their status.</t>
  </si>
  <si>
    <t>All refresh tokens for userId blacklisted. User gets 401 on next request with message: session_terminated_by_admin.</t>
  </si>
  <si>
    <t>UM-007</t>
  </si>
  <si>
    <t>GET  /admin/users/:id</t>
  </si>
  <si>
    <t>Get complete profile of any user.</t>
  </si>
  <si>
    <t>Returns full user record including status, depts, lastLogin, createdAt. Password hash never included. 403 if non-admin.</t>
  </si>
  <si>
    <t>DM-001</t>
  </si>
  <si>
    <t>GET  /departments</t>
  </si>
  <si>
    <t>List all active departments with file count and last-updated date.</t>
  </si>
  <si>
    <t>Returns { id, name, fileCount, lastUpdated } for each dept. Both roles can see the list. Archived depts excluded.</t>
  </si>
  <si>
    <t>DM-002</t>
  </si>
  <si>
    <t>POST  /departments</t>
  </si>
  <si>
    <t>Admin creates a new department with name and HDD path.</t>
  </si>
  <si>
    <t>Name must be unique. hdd_path validated to be inside MOUNT_ROOT. Directory created on HDD if it does not exist. Audit logged.</t>
  </si>
  <si>
    <t>DM-003</t>
  </si>
  <si>
    <t>PUT  /departments/:id</t>
  </si>
  <si>
    <t>Admin updates department name or description.</t>
  </si>
  <si>
    <t>Name uniqueness re-validated. Audit logged. 404 if dept not found.</t>
  </si>
  <si>
    <t>DM-004</t>
  </si>
  <si>
    <t>DELETE  /departments/:id</t>
  </si>
  <si>
    <t>Admin soft-archives a department.</t>
  </si>
  <si>
    <t>Sets archived_at = NOW(). Files remain on HDD and in DB. Dept no longer appears in GET /departments. Audit logged.</t>
  </si>
  <si>
    <t>Wk 4</t>
  </si>
  <si>
    <t>DM-005</t>
  </si>
  <si>
    <t>POST  /departments/:id/users</t>
  </si>
  <si>
    <t>Admin assigns a user to a department. Body: { userId, accessLevel }.</t>
  </si>
  <si>
    <t>accessLevel must be READ_ONLY or READ_WRITE (V1 — no DELETE level for users). Upserts user_dept_access record. In-app notification sent to user. Audit logged.</t>
  </si>
  <si>
    <t>DM-006</t>
  </si>
  <si>
    <t>DELETE  /departments/:id/users/:userId</t>
  </si>
  <si>
    <t>Admin removes a user from a department.</t>
  </si>
  <si>
    <t>Deletes user_dept_access record. User can no longer see or download files from that dept. Audit logged.</t>
  </si>
  <si>
    <t>FM-001</t>
  </si>
  <si>
    <t>POST  /files/upload</t>
  </si>
  <si>
    <t>Admin uploads a file to a specific department. Single-shot for files &lt;= 10 MB.</t>
  </si>
  <si>
    <t>Magic-byte validation (real type, not just extension). SHA-256 checksum computed and stored. Atomic HDD write: write to temp path then rename. DB insert + audit log in single MySQL transaction (rollback if either fails). WS broadcast FILE_UPLOAD to all users assigned to this dept.</t>
  </si>
  <si>
    <t>FM-002</t>
  </si>
  <si>
    <t>POST  /files/upload/chunk</t>
  </si>
  <si>
    <t>Upload a single chunk for large files (&gt; 10 MB). Body: multipart with chunkIndex, totalChunks, sessionId.</t>
  </si>
  <si>
    <t>First request creates upload_session record in DB. Each chunk saved to /tmp/uploads/{sessionId}/chunk_{n}. Returns { sessionId, received: chunkIndex }.</t>
  </si>
  <si>
    <t>FM-003</t>
  </si>
  <si>
    <t>POST  /files/upload/complete</t>
  </si>
  <si>
    <t>Finalise chunked upload. Assemble, verify checksum, commit to HDD + DB.</t>
  </si>
  <si>
    <t>Assembles chunks in order. Verifies client-provided SHA-256. On mismatch → 422 + cleanup. On success → same DB + audit + WS flow as FM-001. Temp chunks deleted from /tmp.</t>
  </si>
  <si>
    <t>FM-004</t>
  </si>
  <si>
    <t>GET  /files</t>
  </si>
  <si>
    <t>List files. Admin sees ALL files. User sees only files in their assigned departments.</t>
  </si>
  <si>
    <t>Supports ?deptId=&amp;type=&amp;search=&amp;sort=name|date|size&amp;order=asc|desc&amp;page=. Admin: includes soft-deleted files (deleted_at not null). User: excludes deleted files. Paginated (20/page, cursor-based).</t>
  </si>
  <si>
    <t>FM-005</t>
  </si>
  <si>
    <t>GET  /files/:id</t>
  </si>
  <si>
    <t>Get metadata for a single file.</t>
  </si>
  <si>
    <t>Returns name, size, mimeType, sha256, uploader, deptId, createdAt, versionCount, deletedAt (admin only). HDD path never exposed. User: 404 if file is in a dept they are not assigned to.</t>
  </si>
  <si>
    <t>FM-006</t>
  </si>
  <si>
    <t>GET  /files/:id/download</t>
  </si>
  <si>
    <t>Stream file bytes from HDD to client.</t>
  </si>
  <si>
    <t>Streamed via fs.createReadStream — never fully loaded to memory. Range header supported (resumable downloads). SHA-256 recomputed on stream; 409 on mismatch. Audit log: FILE_DOWNLOAD. User: 403 if not assigned to file dept.</t>
  </si>
  <si>
    <t>FM-007</t>
  </si>
  <si>
    <t>PATCH  /files/:id</t>
  </si>
  <si>
    <t>Admin updates file metadata: description, tags.</t>
  </si>
  <si>
    <t>Only description and tags editable. Name/path not changeable. FULLTEXT index updated. Audit logged.</t>
  </si>
  <si>
    <t>Wk 5</t>
  </si>
  <si>
    <t>FM-008</t>
  </si>
  <si>
    <t>DELETE  /files/:id</t>
  </si>
  <si>
    <t>Soft-delete a file. Moves bytes to /_trash/{deptId}/ on HDD.</t>
  </si>
  <si>
    <t>Sets deleted_at = NOW() on hdd_nodes. Bytes moved (not copied) to MOUNT_ROOT/_trash/{deptId}/. File invisible to users. Audit logged with admin identity.</t>
  </si>
  <si>
    <t>FM-009</t>
  </si>
  <si>
    <t>POST  /files/:id/restore</t>
  </si>
  <si>
    <t>Restore a soft-deleted file. Moves bytes back from trash.</t>
  </si>
  <si>
    <t>Clears deleted_at. Bytes moved back to original dept path. Visible again to users. Audit logged.</t>
  </si>
  <si>
    <t>FM-010</t>
  </si>
  <si>
    <t>GET  /files/:id/versions</t>
  </si>
  <si>
    <t>List all versions of a file. Ordered newest-first.</t>
  </si>
  <si>
    <t>Returns array: { versionNum, createdAt, uploadedBy, sizeBytes, sha256 }. User: 403 if not assigned to file dept.</t>
  </si>
  <si>
    <t>FM-011</t>
  </si>
  <si>
    <t>GET  /files/:id/versions/:vnum/download</t>
  </si>
  <si>
    <t>Download a specific previous version.</t>
  </si>
  <si>
    <t>Resolves path from MOUNT_ROOT/_versions/{fileId}/{vnum}/. Same stream + checksum logic as FM-006. Audit logged.</t>
  </si>
  <si>
    <t>FM-012</t>
  </si>
  <si>
    <t>POST  /files/:id/versions</t>
  </si>
  <si>
    <t>Upload a new version of an existing file (same name, same dept). Admin only.</t>
  </si>
  <si>
    <t>Previous file moved to MOUNT_ROOT/_versions/{fileId}/{n}/. version_count incremented. New hdd_nodes record linked in file_versions. SELECT FOR UPDATE prevents concurrent version conflicts (409 on race).</t>
  </si>
  <si>
    <t>BS-001</t>
  </si>
  <si>
    <t>GET  /browse/:deptId</t>
  </si>
  <si>
    <t>Navigate folder tree for a department. Returns hdd_nodes with node_type=FOLDER as a tree.</t>
  </si>
  <si>
    <t>Supports ?parentId= (root if omitted). Returns { id, name, parentId, childCount }. User: 403 if not assigned to deptId. Admin: sees all folders including those with only deleted files.</t>
  </si>
  <si>
    <t>BS-002</t>
  </si>
  <si>
    <t>GET  /browse/:deptId/folder/:folderId/files</t>
  </si>
  <si>
    <t>List files inside a specific folder. Paginated.</t>
  </si>
  <si>
    <t>Returns files in the folder (node_type=FILE, parentId=folderId). User: excludes deleted files and unassigned depts. Supports ?sort=name|date|size&amp;order=asc|desc&amp;page=.</t>
  </si>
  <si>
    <t>BS-003</t>
  </si>
  <si>
    <t>GET  /search</t>
  </si>
  <si>
    <t>Full-text search across files. MySQL FULLTEXT on name, description, tags.</t>
  </si>
  <si>
    <t>Supports ?q=&amp;deptId=&amp;type=&amp;before=&amp;after=&amp;page=. User: results scoped to assigned departments only (cross-dept leak impossible). Returns paginated file metadata with relevance ordering.</t>
  </si>
  <si>
    <t>NT-001</t>
  </si>
  <si>
    <t>POST  /notifications/broadcast</t>
  </si>
  <si>
    <t>Admin sends a message to ALL users or users of a specific department. Body: { title, message, targetDeptId? }.</t>
  </si>
  <si>
    <t>Notification record inserted for each recipient. Redis PUBLISH on notification.broadcast channel → WebSocket delivers instantly. Audit logged.</t>
  </si>
  <si>
    <t>NT-002</t>
  </si>
  <si>
    <t>GET  /notifications</t>
  </si>
  <si>
    <t>Current user paginated notification inbox.</t>
  </si>
  <si>
    <t>Supports ?category=Files|System|Approvals&amp;unread=true&amp;cursor=&amp;limit=30. Cursor-based pagination (append-only table). Returns only the requesting user own notifications. Ordered newest-first.</t>
  </si>
  <si>
    <t>NT-003</t>
  </si>
  <si>
    <t>GET  /notifications/count</t>
  </si>
  <si>
    <t>Lightweight unread count for bell badge.</t>
  </si>
  <si>
    <t>SELECT COUNT(*) WHERE userId = ? AND read_at IS NULL. Response: { unread: number }. No pagination needed.</t>
  </si>
  <si>
    <t>NT-004</t>
  </si>
  <si>
    <t>PATCH  /notifications/:id/read</t>
  </si>
  <si>
    <t>Mark a single notification as read.</t>
  </si>
  <si>
    <t>Sets read_at = NOW(). User can only mark their own notifications (403 otherwise). Returns updated notification.</t>
  </si>
  <si>
    <t>Wk 6</t>
  </si>
  <si>
    <t>NT-005</t>
  </si>
  <si>
    <t>POST  /notifications/mark-all-read</t>
  </si>
  <si>
    <t>Mark all unread notifications as read for the current user.</t>
  </si>
  <si>
    <t>UPDATE notifications SET read_at = NOW() WHERE userId = ? AND read_at IS NULL. Returns { marked: count }.</t>
  </si>
  <si>
    <t>NT-006</t>
  </si>
  <si>
    <t>DELETE  /notifications/:id</t>
  </si>
  <si>
    <t>Dismiss (hide) a single notification.</t>
  </si>
  <si>
    <t>Sets dismissed_at = NOW(). User can only dismiss their own. Dismissed notifications excluded from GET /notifications.</t>
  </si>
  <si>
    <t>P3</t>
  </si>
  <si>
    <t>NT-007</t>
  </si>
  <si>
    <t>POST  /notifications/dismiss-read</t>
  </si>
  <si>
    <t>Dismiss all already-read notifications for current user.</t>
  </si>
  <si>
    <t>Sets dismissed_at = NOW() WHERE userId = ? AND read_at IS NOT NULL. Returns { dismissed: count }.</t>
  </si>
  <si>
    <t>CM-001</t>
  </si>
  <si>
    <t>GET  /cms</t>
  </si>
  <si>
    <t>Return all CMS content blocks as a key-value map. No auth required.</t>
  </si>
  <si>
    <t>Returns { hero_title, hero_subtitle, hero_cta_text, announcement_text, announcement_visible, gallery_items, banner_title, banner_visible, org_overview, contact_info, sections_visibility }.</t>
  </si>
  <si>
    <t>CM-002</t>
  </si>
  <si>
    <t>PUT  /cms/:blockKey</t>
  </si>
  <si>
    <t>Admin updates a single CMS block by key.</t>
  </si>
  <si>
    <t>blockKey must be in allowlist (prevent arbitrary injection). Value saved to cms_blocks table. Redis PUBLISH on cms.update channel → WebSocket delivers to all connected clients. Landing page updates without reload. Audit logged.</t>
  </si>
  <si>
    <t>CM-003</t>
  </si>
  <si>
    <t>GET  /admin/cms/preview</t>
  </si>
  <si>
    <t>Return all CMS blocks including toggled-off sections. Admin preview only.</t>
  </si>
  <si>
    <t>403 if non-admin. Used by CMS live-preview iframe in Phase 1 frontend.</t>
  </si>
  <si>
    <t>AD-001</t>
  </si>
  <si>
    <t>8 · Admin Dashboard &amp; System Config</t>
  </si>
  <si>
    <t>GET  /admin/stats</t>
  </si>
  <si>
    <t>System statistics for admin home dashboard.</t>
  </si>
  <si>
    <t>Returns { totalUsers, activeUsers, pendingUsers, suspendedUsers, totalFiles, deletedFiles, totalDepts, storageUsedBytes, recentAuditEntries: last 10 }. storageUsedBytes = SUM(size_bytes) from hdd_nodes WHERE deleted_at IS NULL.</t>
  </si>
  <si>
    <t>AD-002</t>
  </si>
  <si>
    <t>GET  /admin/audit-logs</t>
  </si>
  <si>
    <t>Paginated, filterable audit log.</t>
  </si>
  <si>
    <t>Supports ?userId=&amp;action=&amp;from=&amp;to=&amp;cursor=&amp;limit=20. Cursor-based on BIGINT id (append-only). Returns entries with actor name, resource type/id, old/new values.</t>
  </si>
  <si>
    <t>AD-003</t>
  </si>
  <si>
    <t>GET  /admin/audit-logs/export</t>
  </si>
  <si>
    <t>Export filtered audit log as CSV download.</t>
  </si>
  <si>
    <t>Same filters as AD-002. Streams CSV with headers. Content-Disposition: attachment; filename=audit_log_{date}.csv.</t>
  </si>
  <si>
    <t>Wk 7</t>
  </si>
  <si>
    <t>AD-004</t>
  </si>
  <si>
    <t>GET  /admin/settings</t>
  </si>
  <si>
    <t>Return all runtime configuration values from system_config table.</t>
  </si>
  <si>
    <t>Returns all key-value pairs. Keys: max_upload_bytes, allowed_extensions, hdd_sync_interval_minutes, download_rate_limit_per_hour, smtp_enabled.</t>
  </si>
  <si>
    <t>AD-005</t>
  </si>
  <si>
    <t>PUT  /admin/settings/:key</t>
  </si>
  <si>
    <t>Update a runtime config value. No server restart needed.</t>
  </si>
  <si>
    <t>Key must be in allowlist. Written to system_config table. In-memory config cache invalidated (TTL 60s). Audit logged.</t>
  </si>
  <si>
    <t>AD-006</t>
  </si>
  <si>
    <t>POST  /admin/hdd-sync</t>
  </si>
  <si>
    <t>Manually trigger HDD sync daemon.</t>
  </si>
  <si>
    <t>Runs HddSyncService.run() asynchronously. Returns { jobId, status: started } immediately. On completion: Redis PUBLISH on hdd.sync → WS event SYNC_COMPLETE sent to admin.</t>
  </si>
  <si>
    <t>HL-001</t>
  </si>
  <si>
    <t>GET  /health</t>
  </si>
  <si>
    <t>Application health check. Returns DB + Redis + HDD mount status.</t>
  </si>
  <si>
    <t>Returns 200: { status: ok, db: ok|error, redis: ok|error, hdd: ok|error, timestamp }. Returns 503 if any dependency is down. No auth required.</t>
  </si>
  <si>
    <t>HL-002</t>
  </si>
  <si>
    <t>GET  /admin/health/hdd</t>
  </si>
  <si>
    <t>Detailed HDD health: last check time, mount path, available bytes, last failure.</t>
  </si>
  <si>
    <t>Admin only. Checks if MOUNT_ROOT is accessible by reading a probe file. Returns { mounted, lastChecked, availableBytes, lastFailure }.</t>
  </si>
  <si>
    <t>WS-001</t>
  </si>
  <si>
    <t>WS  /ws  (connect)</t>
  </si>
  <si>
    <t>JWT validated on handshake. User associated with socket. Ping/pong keepalive every 30s.</t>
  </si>
  <si>
    <t>Client sends ?token=&lt;accessToken&gt; on connect. Invalid/expired token → close code 4401. 3 missed pings → socket closed and cleaned from connection map. Connection count exposed in /health.</t>
  </si>
  <si>
    <t>WS-002</t>
  </si>
  <si>
    <t>WS  /ws  (outbound events)</t>
  </si>
  <si>
    <t>Server → client events: FILE_UPLOAD, FILE_DELETED, NOTIFICATION, CMS_UPDATE, SYNC_COMPLETE, APPROVAL_RESULT.</t>
  </si>
  <si>
    <t>FILE_UPLOAD → users assigned to that deptId only. FILE_DELETED → users assigned to that deptId only. NOTIFICATION → targeted userId or broadcast to all. CMS_UPDATE → all connected users. SYNC_COMPLETE → admin only. APPROVAL_RESULT → specific user.</t>
  </si>
  <si>
    <t>WS-003</t>
  </si>
  <si>
    <t>WS  /ws  (Redis pub-sub bridge)</t>
  </si>
  <si>
    <t>Subscribe to Redis channels and fan-out to connected WebSocket clients.</t>
  </si>
  <si>
    <t>Channels: notification.broadcast, cms.update, hdd.sync. Message received on Redis channel → forwarded to appropriate WS sockets. Handles multiple Node.js processes if scaled via PM2 cluster.</t>
  </si>
  <si>
    <t>MW-001</t>
  </si>
  <si>
    <t>MW  authMiddleware</t>
  </si>
  <si>
    <t>Verify JWT access token on every protected route. Check Redis blacklist for revoked tokens. Attach req.user.</t>
  </si>
  <si>
    <t>Missing token → 401. Expired token → 401 with code token_expired. Blacklisted token → 401 with code token_revoked. req.user = { id, role, deptIds } on success.</t>
  </si>
  <si>
    <t>MW-002</t>
  </si>
  <si>
    <t>MW  isAdminMiddleware</t>
  </si>
  <si>
    <t>Verify req.user.role === ADMIN. Applied to all /admin/* routes and admin-only file operations.</t>
  </si>
  <si>
    <t>403 { code: forbidden } if role is USER. Never applied to PUBLIC or BOTH routes.</t>
  </si>
  <si>
    <t>MW-003</t>
  </si>
  <si>
    <t>MW  deptAccessMiddleware</t>
  </si>
  <si>
    <t>For file/browse routes: verify user has access to the target department. Admin bypasses check.</t>
  </si>
  <si>
    <t>Reads deptId from params or body. Checks user_dept_access table (cached in Redis for 5 min). 403 if user not assigned to dept.</t>
  </si>
  <si>
    <t>MW-004</t>
  </si>
  <si>
    <t>MW  rateLimiterMiddleware</t>
  </si>
  <si>
    <t>Two rate limiters: login (5 failures per IP → 15 min lockout) and download (100 per user per hour).</t>
  </si>
  <si>
    <t>Login lockout stored in Redis with TTL. Download count stored in Redis sliding window. Exceeded limits return 429 with Retry-After header. Anomaly alert if user downloads &gt; 50 files in 10 min.</t>
  </si>
  <si>
    <t>MW-005</t>
  </si>
  <si>
    <t>MW  auditMiddleware</t>
  </si>
  <si>
    <t>Automatically log every state-changing request (POST/PUT/PATCH/DELETE) to audit_logs after response is sent.</t>
  </si>
  <si>
    <t>Captures: userId, action (derived from method+path), resourceType, resourceId, ip_address, user_agent, statusCode. Runs async after response — never blocks the request.</t>
  </si>
  <si>
    <t>MW-006</t>
  </si>
  <si>
    <t>MW  hddAvailabilityMiddleware</t>
  </si>
  <si>
    <t>Applied to upload/download routes. Verify HDD mount is accessible before processing.</t>
  </si>
  <si>
    <t>If MOUNT_ROOT probe fails → 503 { code: hdd_unavailable }. Sends admin notification on first failure. Caches check result for 30s to avoid hammering disk.</t>
  </si>
  <si>
    <t>SV-001</t>
  </si>
  <si>
    <t>SVC  HddService</t>
  </si>
  <si>
    <t>Low-level HDD I/O: write, read/stream, move, delete, generate checksum, validate magic bytes.</t>
  </si>
  <si>
    <t>writeFile: temp path → atomic rename. streamFile: returns ReadableStream. moveFile: handles cross-path move within MOUNT_ROOT. validateMagicBytes: checks first 8 bytes against known signatures. All paths validated against MOUNT_ROOT boundary (path traversal guard).</t>
  </si>
  <si>
    <t>SV-002</t>
  </si>
  <si>
    <t>SVC  HddSyncService</t>
  </si>
  <si>
    <t>Daemon that walks the HDD tree every N minutes (configurable). Reconciles HDD state with DB.</t>
  </si>
  <si>
    <t>Files on HDD not in DB → inserted as status=UNREGISTERED. Files in DB but missing from HDD → marked status=ORPHANED. Files in both → updated last_synced, size_bytes. On completion: emit SYNC_COMPLETE event via Redis pub-sub.</t>
  </si>
  <si>
    <t>SV-003</t>
  </si>
  <si>
    <t>SVC  AuditService</t>
  </si>
  <si>
    <t>Append-only audit logger. All mutations logged with actor, resource, old/new JSON.</t>
  </si>
  <si>
    <t>INSERT only — no UPDATE or DELETE ever on audit_logs. Async (non-blocking). DB user for audit inserts has INSERT-only privilege on this table.</t>
  </si>
  <si>
    <t>SV-004</t>
  </si>
  <si>
    <t>SVC  EmailService</t>
  </si>
  <si>
    <t>Nodemailer + campus SMTP. Templates for: approval, rejection, suspension, OTP, broadcast.</t>
  </si>
  <si>
    <t>All email stays on intranet SMTP. Errors logged but never propagate to API response. Templates use plain text + HTML. SMTP credentials from .env.</t>
  </si>
  <si>
    <t>SV-005</t>
  </si>
  <si>
    <t>SVC  NotificationService</t>
  </si>
  <si>
    <t>Single entry point for creating notification records + pushing via WebSocket.</t>
  </si>
  <si>
    <t>send({ type, actorId, recipientIds, message, metadata }): INSERT to notifications for each recipient, then Redis PUBLISH for real-time delivery. Non-blocking — errors never cause transaction rollback.</t>
  </si>
  <si>
    <t>SV-006</t>
  </si>
  <si>
    <t>SVC  FileService</t>
  </si>
  <si>
    <t>Orchestrates upload: validate → HDD write → DB insert (transaction) → audit → notification.</t>
  </si>
  <si>
    <t>Compensation pattern: if DB insert fails after HDD write → immediately delete HDD file. SELECT FOR UPDATE before write to prevent concurrent version conflict. SHA-256 computed and stored. All DB ops in a single MySQL transaction.</t>
  </si>
  <si>
    <t>SV-007</t>
  </si>
  <si>
    <t>SVC  SearchService</t>
  </si>
  <si>
    <t>MySQL FULLTEXT search on hdd_nodes(name, description, tags). Results scoped to user dept access.</t>
  </si>
  <si>
    <t>MATCH AGAINST in BOOLEAN MODE. JOIN with user_dept_access to scope results. Admin sees all including deleted. User sees non-deleted only.</t>
  </si>
  <si>
    <t>SV-008</t>
  </si>
  <si>
    <t>SVC  HddHealthService</t>
  </si>
  <si>
    <t>Background probe every 60s. Admin email + system banner on failure.</t>
  </si>
  <si>
    <t>Writes and reads a .probe file at MOUNT_ROOT. On failure: send admin email once (not every 60s). Set system-wide hdd_degraded flag in Redis. On recovery: send recovery email. Clear flag.</t>
  </si>
  <si>
    <t>Area</t>
  </si>
  <si>
    <t>Supplemental Task</t>
  </si>
  <si>
    <t>Requirement / Work</t>
  </si>
  <si>
    <t>Source</t>
  </si>
  <si>
    <t>Status</t>
  </si>
  <si>
    <t>Why It Was Added</t>
  </si>
  <si>
    <t>ARCH-V1-001</t>
  </si>
  <si>
    <t>Security</t>
  </si>
  <si>
    <t>Nginx security headers</t>
  </si>
  <si>
    <t>Configure HSTS, X-Frame-Options, X-Content-Type-Options, Referrer-Policy and CSP on all responses; hide server fingerprinting headers.</t>
  </si>
  <si>
    <t>Headers verified in staging with an automated smoke/security check; HTTPS redirect works.</t>
  </si>
  <si>
    <t>Architecture Ch. 7.2.1 / 11.3</t>
  </si>
  <si>
    <t>Missing from V1 task list</t>
  </si>
  <si>
    <t>ARCH-V1-002</t>
  </si>
  <si>
    <t>CSRF protection for refresh/logout</t>
  </si>
  <si>
    <t>SameSite=Strict refresh cookie plus X-CSRF-Token validation on cookie-dependent state-changing auth endpoints; rotate CSRF token on refresh.</t>
  </si>
  <si>
    <t>Cross-site request without valid CSRF header is rejected; token rotates after refresh.</t>
  </si>
  <si>
    <t>Architecture Ch. 7.2.2</t>
  </si>
  <si>
    <t>ARCH-V1-003</t>
  </si>
  <si>
    <t>Restrictive CORS policy</t>
  </si>
  <si>
    <t>Set CORS origin from APP_ORIGIN; never wildcard. Explicitly allow GET/POST/PUT/DELETE/PATCH and Authorization, Content-Type, X-CSRF-Token headers.</t>
  </si>
  <si>
    <t>Preflight and API tests pass for allowed origin and fail for disallowed origin.</t>
  </si>
  <si>
    <t>Architecture Ch. 7.2.3</t>
  </si>
  <si>
    <t>ARCH-V1-004</t>
  </si>
  <si>
    <t>Authentication</t>
  </si>
  <si>
    <t>TOTP MFA for Super Admin</t>
  </si>
  <si>
    <t>Implement RFC 6238 TOTP MFA for the bootstrapped/admin account and add mfa_secret handling without exposing the secret.</t>
  </si>
  <si>
    <t>Admin cannot complete authentication without valid MFA once enabled; backup/recovery behavior documented.</t>
  </si>
  <si>
    <t>Architecture Ch. 5.7; REQ-AUTH-05</t>
  </si>
  <si>
    <t>Architecture requirement; validate against V1 2-role scope</t>
  </si>
  <si>
    <t>ARCH-V1-005</t>
  </si>
  <si>
    <t>API</t>
  </si>
  <si>
    <t>Standard error envelope + requestId</t>
  </si>
  <si>
    <t>All errors use {error:{code,message,details},requestId}; stable codes documented in OpenAPI.</t>
  </si>
  <si>
    <t>All protected/public error paths return the standard envelope; requestId is traceable in logs.</t>
  </si>
  <si>
    <t>Architecture Ch. 9.4; REQ-API-02</t>
  </si>
  <si>
    <t>V1 global error handler only partially covers this</t>
  </si>
  <si>
    <t>ARCH-V1-006</t>
  </si>
  <si>
    <t>WebSocket</t>
  </si>
  <si>
    <t>Reconnect contract with exponential backoff</t>
  </si>
  <si>
    <t>Document/implement client contract: 1s,2s,4s,8s,16s then 60s; after reconnect re-fetch notification inbox.</t>
  </si>
  <si>
    <t>Reconnect sequence and missed-message recovery verified in E2E.</t>
  </si>
  <si>
    <t>Architecture Ch. 12.4; REQ-WS-03</t>
  </si>
  <si>
    <t>Backend + frontend coordination required</t>
  </si>
  <si>
    <t>ARCH-V1-007</t>
  </si>
  <si>
    <t>Testing</t>
  </si>
  <si>
    <t>Unit test coverage ≥80%</t>
  </si>
  <si>
    <t>Jest service/middleware tests with dependency injection and mocked I/O; minimum 80% line coverage for services + middleware.</t>
  </si>
  <si>
    <t>Coverage report ≥80%; unit suite under 30 seconds.</t>
  </si>
  <si>
    <t>Architecture Ch. 14.3; REQ-TEST-01</t>
  </si>
  <si>
    <t>ARCH-V1-008</t>
  </si>
  <si>
    <t>REST integration tests for every endpoint</t>
  </si>
  <si>
    <t>Jest + Supertest against a real MySQL test DB/schema; cover each V1 REST endpoint.</t>
  </si>
  <si>
    <t>Every V1 REST endpoint has at least one integration test; failures block CI.</t>
  </si>
  <si>
    <t>Architecture Ch. 14.4; REQ-TEST-02</t>
  </si>
  <si>
    <t>ARCH-V1-009</t>
  </si>
  <si>
    <t>Critical E2E backend journeys</t>
  </si>
  <si>
    <t>Automate critical flows: register→approve→login→upload→user access→download; suspend→session invalidation; CMS→WS update.</t>
  </si>
  <si>
    <t>Critical journey tests pass in a reproducible test environment.</t>
  </si>
  <si>
    <t>Architecture Ch. 14.5; REQ-TEST-03</t>
  </si>
  <si>
    <t>ARCH-V1-010</t>
  </si>
  <si>
    <t>CI pipeline gates</t>
  </si>
  <si>
    <t>CI runs lint, unit/integration tests and build; failing checks block merge; deploy to staging after approval/merge workflow.</t>
  </si>
  <si>
    <t>Protected branch cannot merge when required checks fail.</t>
  </si>
  <si>
    <t>Architecture Ch. 14.7; REQ-TEST-04</t>
  </si>
  <si>
    <t>Existing DB-006 is only frontend/project-level CI and is Todo</t>
  </si>
  <si>
    <t>ARCH-V1-011</t>
  </si>
  <si>
    <t>Observability</t>
  </si>
  <si>
    <t>PM2 log rotation + uptime monitoring</t>
  </si>
  <si>
    <t>Rotate logs at 100 MB with 30-day retention; catch unhandled exceptions/rejections; configure internal /api/v1/health uptime check with alerting.</t>
  </si>
  <si>
    <t>Logs rotate automatically; uptime monitor alerts after 3 consecutive failures.</t>
  </si>
  <si>
    <t>Architecture Ch. 7.5; REQ-OBS-01/02</t>
  </si>
  <si>
    <t>Logging/health are only partial in existing tracker</t>
  </si>
  <si>
    <t>ARCH-V1-012</t>
  </si>
  <si>
    <t>Disaster Recovery</t>
  </si>
  <si>
    <t>Backup verification + DR runbook</t>
  </si>
  <si>
    <t>Daily MySQL dump (30-day retention), HDD/NAS RAID1 or nightly rsync backup, secure .env backup; document restore sequence and smoke tests.</t>
  </si>
  <si>
    <t>A documented restore drill succeeds in staging; backup files are verified and recoverable.</t>
  </si>
  <si>
    <t>Architecture Ch. 11.5–11.6</t>
  </si>
  <si>
    <t>ARCH-V1-013</t>
  </si>
  <si>
    <t>RPO/RTO and quarterly DR drill</t>
  </si>
  <si>
    <t>Adopt RPO ≤24h and RTO ≤4h; perform quarterly staging restore drill and record results.</t>
  </si>
  <si>
    <t>Latest drill evidence stored in repo/ops record and meets targets.</t>
  </si>
  <si>
    <t>Architecture Ch. 11.6</t>
  </si>
  <si>
    <t>ARCH-V1-014</t>
  </si>
  <si>
    <t>Environments</t>
  </si>
  <si>
    <t>Dev/staging/production parity</t>
  </si>
  <si>
    <t>Maintain named dev, staging and production environments; staging mirrors production versions/config shape; migrations validated in staging first.</t>
  </si>
  <si>
    <t>Separate env config files exist; a staging migration validation step is documented/automated.</t>
  </si>
  <si>
    <t>Architecture Ch. 2.4</t>
  </si>
  <si>
    <t>Docker Compose in current tracker covers local dev only; staging parity is not shown</t>
  </si>
  <si>
    <t>ARCH-V1-015</t>
  </si>
  <si>
    <t>Folder Management</t>
  </si>
  <si>
    <t>User subfolder creation permissions</t>
  </si>
  <si>
    <t>READ_WRITE users may create subfolders when allow_user_folder_creation is enabled; folder depth configurable (default max 5).</t>
  </si>
  <si>
    <t>RBAC tests enforce create/browse restrictions and max depth.</t>
  </si>
  <si>
    <t>Architecture Ch. 4.5; REQ-RBAC-03</t>
  </si>
  <si>
    <t>Missing from V1 endpoint list; confirm whether this is V1 or V2</t>
  </si>
  <si>
    <t>ARCH-V1-016</t>
  </si>
  <si>
    <t>File Management</t>
  </si>
  <si>
    <t>Bulk file operations</t>
  </si>
  <si>
    <t>Provide backend support for bulk delete/tag/move operations with department-scoped authorization and audit logging.</t>
  </si>
  <si>
    <t>Bulk action is atomic/compensated as specified, rejects unauthorized cross-dept items, and audits each affected file.</t>
  </si>
  <si>
    <t>Architecture Ch. 6.6; REQ-FILE-06</t>
  </si>
  <si>
    <t>Architecture gap; current frontend FE-022 expects bulk delete/tag</t>
  </si>
  <si>
    <t>ARCH-V1-017</t>
  </si>
  <si>
    <t>Identity</t>
  </si>
  <si>
    <t>LDAP/Active Directory integration</t>
  </si>
  <si>
    <t>Passport.js LDAP authentication; map AD identity to local employee_id; unknown identities become PENDING; no LDAP password storage.</t>
  </si>
  <si>
    <t>LDAP login and approval mapping work against test directory; local password fallback limited to bootstrapped admin.</t>
  </si>
  <si>
    <t>Architecture Ch. 10.6; REQ-AUTH-06</t>
  </si>
  <si>
    <t>Critical architecture requirement but absent from V1 complete task list</t>
  </si>
  <si>
    <t>ARCH-V1-018</t>
  </si>
  <si>
    <t>Data Model</t>
  </si>
  <si>
    <t>Normalize tags</t>
  </si>
  <si>
    <t>Replace comma-separated tag storage with normalized tags + junction table if architecture decision is adopted.</t>
  </si>
  <si>
    <t>Tag search/autocomplete works without parsing CSV strings; migration path documented.</t>
  </si>
  <si>
    <t>Architecture Ch. 8.3 / 13.2</t>
  </si>
  <si>
    <t>Deferred (V1.1)</t>
  </si>
  <si>
    <t>Architecture labels this as a minor gap; not a V1 launch blocker</t>
  </si>
  <si>
    <t>ARCH-V1-019</t>
  </si>
  <si>
    <t>File encryption at rest (optional)</t>
  </si>
  <si>
    <t>Optional AES-256-GCM per-department encryption with keys stored separately from protected files.</t>
  </si>
  <si>
    <t>Encrypted department can upload/download successfully and keys are not stored beside files.</t>
  </si>
  <si>
    <t>Architecture Ch. 7.2.4 / 13.3</t>
  </si>
  <si>
    <t>Architecture explicitly treats this as optional / V1.1</t>
  </si>
  <si>
    <t>ARCH-V1-020</t>
  </si>
  <si>
    <t>File Sharing</t>
  </si>
  <si>
    <t>Intranet share links with expiry</t>
  </si>
  <si>
    <t>Generate expiring intranet share links scoped to files and authorized department access.</t>
  </si>
  <si>
    <t>Expired/invalid links fail; share access is audited.</t>
  </si>
  <si>
    <t>Architecture Ch. 6.7; REQ-FILE-07</t>
  </si>
  <si>
    <t>Architecture gap but not present in current V1 endpoint list</t>
  </si>
  <si>
    <t>ISTRAC-FMS · Phase 1 Task Tracker</t>
  </si>
  <si>
    <t>45 Tasks · 136 Story Points · Weeks 1-4 · P1=Critical  P2=High  P3=Nice-to-have</t>
  </si>
  <si>
    <t>Category</t>
  </si>
  <si>
    <t>Task</t>
  </si>
  <si>
    <t>Week</t>
  </si>
  <si>
    <t>Notes</t>
  </si>
  <si>
    <t>FE-001</t>
  </si>
  <si>
    <t>1 · Design System &amp; Project Setup</t>
  </si>
  <si>
    <t>Configure Tailwind CSS — custom color tokens, spacing scale, font scale</t>
  </si>
  <si>
    <t>tailwind.config.ts exports Navy/Orange/Slate tokens; build produces correct output.</t>
  </si>
  <si>
    <t>Week 1</t>
  </si>
  <si>
    <t>FE-002</t>
  </si>
  <si>
    <t>Base component library: Button, Badge, Input, Modal, Card, Table, Avatar</t>
  </si>
  <si>
    <t>≥2 variants each, renders without errors, exported from components/index.ts, demo page.</t>
  </si>
  <si>
    <t>FE-003</t>
  </si>
  <si>
    <t>Font loading — Lato (thin/light/regular/bold) + DejaVu Sans Mono for code</t>
  </si>
  <si>
    <t>Fonts load via @font-face or CDN fallback; no FOUT on first paint.</t>
  </si>
  <si>
    <t>FE-004</t>
  </si>
  <si>
    <t>React Router v6 config — public / protected (JWT) / admin (RBAC) routes</t>
  </si>
  <si>
    <t>Unauth user → /login. Non-admin → /dashboard. Nested layouts work.</t>
  </si>
  <si>
    <t>FE-005</t>
  </si>
  <si>
    <t>React Query client + Zustand store (auth / UI / notification slices)</t>
  </si>
  <si>
    <t>useAuthStore().user populated post-login; devtools show correct keys; persist survives refresh.</t>
  </si>
  <si>
    <t>FE-006</t>
  </si>
  <si>
    <t>Axios instance — JWT interceptor, silent refresh on 401, redirect on failure</t>
  </si>
  <si>
    <t>Refresh happens silently; expired refresh token redirects to /login.</t>
  </si>
  <si>
    <t>FE-007</t>
  </si>
  <si>
    <t>2 · Landing Page (CMS-driven)</t>
  </si>
  <si>
    <t>Hero section — title, subtitle, CTA from AppContext.cmsBlocks</t>
  </si>
  <si>
    <t>CMS edit updates page without reload (WS push); CTA → /register.</t>
  </si>
  <si>
    <t>FE-008</t>
  </si>
  <si>
    <t>Announcement bar — toggleable, text + background from CMS</t>
  </si>
  <si>
    <t>Admin toggles visibility/text; reflects within 2s via WS.</t>
  </si>
  <si>
    <t>FE-009</t>
  </si>
  <si>
    <t>Feature strip — 3-item grid with icon, title, description, individually toggleable</t>
  </si>
  <si>
    <t>Each item hides independently; 3-col desktop / 1-col mobile.</t>
  </si>
  <si>
    <t>Week 2</t>
  </si>
  <si>
    <t>FE-010</t>
  </si>
  <si>
    <t>Gallery section — image cards (URL, label, caption), admin add/remove</t>
  </si>
  <si>
    <t>New card appears after WS push; empty gallery hides section.</t>
  </si>
  <si>
    <t>FE-011</t>
  </si>
  <si>
    <t>Banner section — title, subtitle, CTA text, visibility toggle</t>
  </si>
  <si>
    <t>Toggle hides section without reload; CTA hidden if text empty.</t>
  </si>
  <si>
    <t>FE-012</t>
  </si>
  <si>
    <t>3 · Authentication UI</t>
  </si>
  <si>
    <t>Login page — email/password, error states, loading spinner, forgot-password link</t>
  </si>
  <si>
    <t>Field-level errors; spinner on submit; success → /dashboard; lockout counter shown.</t>
  </si>
  <si>
    <t>FE-013</t>
  </si>
  <si>
    <t>Register page — name, email, employee_id, dept_preference, reason_for_access</t>
  </si>
  <si>
    <t>Zod client validation; success shows pending-approval message; blocks re-submit.</t>
  </si>
  <si>
    <t>FE-014</t>
  </si>
  <si>
    <t>Forgot Password — email → OTP → new password</t>
  </si>
  <si>
    <t>Step 1 masks unknown emails; OTP field blocks paste; wrong OTP errors; success → login.</t>
  </si>
  <si>
    <t>FE-015</t>
  </si>
  <si>
    <t>Forced password-change screen (shown when temp_pass = true)</t>
  </si>
  <si>
    <t>Cannot navigate away; strength meter must reach Strong; clears temp_pass on success.</t>
  </si>
  <si>
    <t>FE-016</t>
  </si>
  <si>
    <t>Password strength meter with live requirement checklist</t>
  </si>
  <si>
    <t>Each requirement turns green as met; submit disabled until all pass.</t>
  </si>
  <si>
    <t>FE-017</t>
  </si>
  <si>
    <t>4 · Admin Dashboard &amp; AppShell</t>
  </si>
  <si>
    <t>Sidebar (collapsible, role-gated) + Topbar (bell badge, avatar menu)</t>
  </si>
  <si>
    <t>Non-admin hides /admin/* links; badge shows unread count; sidebar collapses on mobile.</t>
  </si>
  <si>
    <t>FE-018</t>
  </si>
  <si>
    <t>Admin home — stats cards (users/files/depts/storage) + activity feed</t>
  </si>
  <si>
    <t>Cards pull live data from /admin/stats; feed shows last 10 audit entries.</t>
  </si>
  <si>
    <t>FE-019</t>
  </si>
  <si>
    <t>Approval Queue — pending registrations, Approve/Reject + reason modal</t>
  </si>
  <si>
    <t>Approve removes from queue + toast; rejection reason required and emailed.</t>
  </si>
  <si>
    <t>FE-020</t>
  </si>
  <si>
    <t>User Management table — paginated, searchable, filter by status/role</t>
  </si>
  <si>
    <t>20/page cursor pagination; Suspend confirms; Force Logout invalidates session instantly.</t>
  </si>
  <si>
    <t>Week 3</t>
  </si>
  <si>
    <t>FE-021</t>
  </si>
  <si>
    <t>5 · Admin File Manager &amp; Upload</t>
  </si>
  <si>
    <t>Department Manager — create/edit/archive depts, HDD mount path, access rules</t>
  </si>
  <si>
    <t>Name-uniqueness validated; path shows /mnt/istrac-data/ prefix; archive moves to Archived tab.</t>
  </si>
  <si>
    <t>FE-022</t>
  </si>
  <si>
    <t>Per-dept file grid — grid/list toggle, sort, bulk checkbox select</t>
  </si>
  <si>
    <t>View choice persists in Zustand; bulk bar offers delete + tag.</t>
  </si>
  <si>
    <t>FE-023</t>
  </si>
  <si>
    <t>Upload modal — drag-drop, multi-file, per-file progress, chunked support</t>
  </si>
  <si>
    <t>Multi-file drag-drop; &gt;10MB chunked; individual progress bars; green check on complete.</t>
  </si>
  <si>
    <t>FE-024</t>
  </si>
  <si>
    <t>Version history panel — list versions with date/uploader/size, download</t>
  </si>
  <si>
    <t>Slides in from right; each version shows number, timestamp, uploader, download button.</t>
  </si>
  <si>
    <t>FE-025</t>
  </si>
  <si>
    <t>Audit Log viewer — cursor pagination, filters, CSV export</t>
  </si>
  <si>
    <t>CSV exports current filter; chips show active filters; row expands JSON diff.</t>
  </si>
  <si>
    <t>FE-026</t>
  </si>
  <si>
    <t>Broadcast Notification page — compose + send to All or a department</t>
  </si>
  <si>
    <t>Multi-select dept dropdown; live preview card; delivers instantly to connected users.</t>
  </si>
  <si>
    <t>Week 4</t>
  </si>
  <si>
    <t>FE-027</t>
  </si>
  <si>
    <t>6 · Admin: CMS Editor &amp; System Config</t>
  </si>
  <si>
    <t>CMS Editor — 5-tab layout (Hero / Gallery / Banner / Info / Sections)</t>
  </si>
  <si>
    <t>Save calls PUT /cms/:blockKey; landing page updates via WS without reload.</t>
  </si>
  <si>
    <t>FE-028</t>
  </si>
  <si>
    <t>CMS live preview panel — landing page in iframe alongside editor</t>
  </si>
  <si>
    <t>Refreshes on every save; desktop/mobile width toggle.</t>
  </si>
  <si>
    <t>FE-029</t>
  </si>
  <si>
    <t>System Config panel — Upload limits, Security, Email, HDD Sync</t>
  </si>
  <si>
    <t>Each setting reads current DB value; save calls PUT /admin/settings/:key.</t>
  </si>
  <si>
    <t>FE-030</t>
  </si>
  <si>
    <t>Role Manager — 20-key grouped permission grid, assign users</t>
  </si>
  <si>
    <t>5 categories of checkboxes; typeahead user picker; saves invalidate permission cache.</t>
  </si>
  <si>
    <t>FE-031</t>
  </si>
  <si>
    <t>7 · User Dashboard</t>
  </si>
  <si>
    <t>User home — assigned dept cards, recent files, quick search bar</t>
  </si>
  <si>
    <t>Cards show count + last-updated; recent shows last 5 uploads; search pre-fills query.</t>
  </si>
  <si>
    <t>FE-032</t>
  </si>
  <si>
    <t>Dept file browser — folder tree, grid/list, breadcrumb, sort/filter</t>
  </si>
  <si>
    <t>Tree renders FOLDER nodes; no files visible outside assigned depts.</t>
  </si>
  <si>
    <t>FE-033</t>
  </si>
  <si>
    <t>File Preview modal — PDF.js, image, video, text/CSV</t>
  </si>
  <si>
    <t>PDF page nav; image zoom; HTML5 video; office files show metadata + download; logs to audit.</t>
  </si>
  <si>
    <t>FE-034</t>
  </si>
  <si>
    <t>Search page — full-text results, operator chips, history</t>
  </si>
  <si>
    <t>Chips render below search bar; last 20 searches suggested on focus; results show badges.</t>
  </si>
  <si>
    <t>FE-035</t>
  </si>
  <si>
    <t>/notifications page — 5 tabs, date groups, mark-read</t>
  </si>
  <si>
    <t>Per-category unread badge; Mark-all/Clear-read; linked notification opens file + marks read.</t>
  </si>
  <si>
    <t>FE-036</t>
  </si>
  <si>
    <t>Bell badge (Sidebar) + Topbar dropdown (5 recent + View all)</t>
  </si>
  <si>
    <t>Numeric badge hides at 0; dropdown updates via WS push, no polling.</t>
  </si>
  <si>
    <t>FE-037</t>
  </si>
  <si>
    <t>Toast overlay — bottom-right stack, progress bar, auto-dismiss, pause-on-hover</t>
  </si>
  <si>
    <t>Max 5 visible, overflow queued; hover pauses timer; 4 status variants.</t>
  </si>
  <si>
    <t>DB-001</t>
  </si>
  <si>
    <t>8 · Database &amp; Core Infrastructure Setup</t>
  </si>
  <si>
    <t>PostgreSQL schema design — users, departments, hdd_nodes, files, roles, audit_log, notifications</t>
  </si>
  <si>
    <t>ERD reviewed and approved; all FKs and indexes defined; schema matches FE data contracts.</t>
  </si>
  <si>
    <t>DB-002</t>
  </si>
  <si>
    <t>Migration framework setup (Prisma/Knex) + seed data for local dev</t>
  </si>
  <si>
    <t>migrate up/down both succeed; seed creates 1 super-admin, 2 depts, sample files.</t>
  </si>
  <si>
    <t>DB-003</t>
  </si>
  <si>
    <t>Docker Compose — Postgres, Redis, backend API, frontend dev containers</t>
  </si>
  <si>
    <t>docker compose up boots all services; frontend reaches backend on first try.</t>
  </si>
  <si>
    <t>DB-004</t>
  </si>
  <si>
    <t>Environment &amp; secrets config — .env schema, JWT secret, DB URL, HDD mount paths</t>
  </si>
  <si>
    <t>.env.example documents every key; app fails fast with a clear error if one is missing.</t>
  </si>
  <si>
    <t>DB-005</t>
  </si>
  <si>
    <t>Redis setup — session/token store + pub-sub channel for CMS &amp; notification WS push</t>
  </si>
  <si>
    <t>Session lookups hit Redis; a publish on the CMS channel is received by a subscribed client.</t>
  </si>
  <si>
    <t>DB-006</t>
  </si>
  <si>
    <t>CI/CD pipeline — lint + test + build on PR, auto-deploy to staging on merge</t>
  </si>
  <si>
    <t>PR blocked on failing lint/tests; merge to main deploys to staging within 10 min.</t>
  </si>
  <si>
    <t>DB-007</t>
  </si>
  <si>
    <t>API mock/contract layer — OpenAPI spec matching every FE-* endpoint</t>
  </si>
  <si>
    <t>Spec covers all endpoints referenced in Phase 1 FE tasks; mock server validates against it.</t>
  </si>
  <si>
    <t>DB-008</t>
  </si>
  <si>
    <t>Logging &amp; health monitoring — structured logs, /health endpoint, error alerting</t>
  </si>
  <si>
    <t>Logs are JSON-structured; /health returns DB + Redis status; alert fires on 5xx spike.</t>
  </si>
  <si>
    <t>Total Story Points:</t>
  </si>
  <si>
    <t>Tasks Done:</t>
  </si>
  <si>
    <t>Tasks Todo/In Progress/Blocked:</t>
  </si>
  <si>
    <t>SP Completed:</t>
  </si>
  <si>
    <t>Issue / Decision</t>
  </si>
  <si>
    <t>Observed from Sources</t>
  </si>
  <si>
    <t>Tracker Treatment</t>
  </si>
  <si>
    <t>Severity</t>
  </si>
  <si>
    <t>SPEC-001</t>
  </si>
  <si>
    <t>V1 task-count inconsistency</t>
  </si>
  <si>
    <t>V1 cover page says 72 tasks / 168 SP; the 13 section headings sum to 80 tasks / 197 SP; the individual task-row SP values sum to 185 SP.</t>
  </si>
  <si>
    <t>Use 80 task rows and 185 task-row SP as the operational tracker baseline; keep the 72/168 and 197 figures visible as source discrepancies until the V1 DOCX is corrected.</t>
  </si>
  <si>
    <t>High</t>
  </si>
  <si>
    <t>V1 DOCX section tables</t>
  </si>
  <si>
    <t>SPEC-002</t>
  </si>
  <si>
    <t>Database technology mismatch</t>
  </si>
  <si>
    <t>Existing Phase 1 tracker has PostgreSQL schema/Prisma/Knex language, while V1 explicitly requires MySQL 8.0.</t>
  </si>
  <si>
    <t>Treat existing DB schema work as rework/porting, not completed V1 backend work.</t>
  </si>
  <si>
    <t>Critical</t>
  </si>
  <si>
    <t>Existing tracker + V1 DOCX</t>
  </si>
  <si>
    <t>SPEC-003</t>
  </si>
  <si>
    <t>Role scope mismatch</t>
  </si>
  <si>
    <t>V1 backend explicitly limits V1 to ADMIN and USER; architecture defines five access levels and later custom roles.</t>
  </si>
  <si>
    <t>Do not block V1 on Dept Admin/Guest/Read-Only/custom-role implementation unless project owner changes scope.</t>
  </si>
  <si>
    <t>V1 DOCX + Architecture Ch. 4/16</t>
  </si>
  <si>
    <t>SPEC-004</t>
  </si>
  <si>
    <t>Redis strategy mismatch</t>
  </si>
  <si>
    <t>V1 task list explicitly requires Redis token blacklist + pub-sub; architecture Ch. 13.3 says Redis token blacklist is deferred.</t>
  </si>
  <si>
    <t>For this tracker, follow the V1 complete task list because it is the stated authoritative execution plan.</t>
  </si>
  <si>
    <t>V1 DOCX + Architecture Ch. 13.3</t>
  </si>
  <si>
    <t>SPEC-005</t>
  </si>
  <si>
    <t>Role Manager frontend scope</t>
  </si>
  <si>
    <t>Existing FE-030 proposes a 20-key role/permission manager derived from architecture custom roles, which is beyond the V1 ADMIN/USER backend scope.</t>
  </si>
  <si>
    <t>Keep FE-030 as V2/deferred or revise it to the V1 department-access model.</t>
  </si>
  <si>
    <t>Existing tracker + Architecture Ch. 16</t>
  </si>
  <si>
    <t>SPEC-006</t>
  </si>
  <si>
    <t>OpenAPI completion level</t>
  </si>
  <si>
    <t>Existing DB-007 is marked Done but says it only covers endpoints referenced by Phase 1 FE tasks; V1 acceptance requires all 45 endpoints.</t>
  </si>
  <si>
    <t>Keep IN-007 as Partially Done until all 45 V1 endpoints and schemas are present.</t>
  </si>
  <si>
    <t>Medium</t>
  </si>
  <si>
    <t>SPEC-007</t>
  </si>
  <si>
    <t>No deadline supplied</t>
  </si>
  <si>
    <t>Neither source specifies a project deadline.</t>
  </si>
  <si>
    <t>Tracker intentionally has no due-date/deadline field; status, source week and owner are used instead.</t>
  </si>
  <si>
    <t>Info</t>
  </si>
  <si>
    <t>User instruction + source files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</si>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</sst>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name val="Carlito"/>
    </font>
    <font>
      <b/>
      <sz val="16"/>
      <color rgb="FFFFFFFF"/>
      <name val="Carlito"/>
    </font>
    <font>
      <i/>
      <sz val="11"/>
      <color rgb="FF334155"/>
      <name val="Carlito"/>
    </font>
    <font>
      <b/>
      <sz val="11"/>
      <color rgb="FF16324F"/>
      <name val="Carlito"/>
    </font>
    <font>
      <b/>
      <sz val="11"/>
      <color rgb="FFFFFFFF"/>
      <name val="Carlito"/>
    </font>
    <font>
      <sz val="11"/>
      <color rgb="FF7C2D12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EF4F8"/>
      </patternFill>
    </fill>
    <fill>
      <patternFill patternType="solid">
        <fgColor rgb="FFD9EAF7"/>
      </patternFill>
    </fill>
    <fill>
      <patternFill patternType="solid">
        <fgColor rgb="FFF8FAFC"/>
      </patternFill>
    </fill>
    <fill>
      <patternFill patternType="solid">
        <fgColor rgb="FF2E5B88"/>
      </patternFill>
    </fill>
    <fill>
      <patternFill patternType="solid">
        <fgColor rgb="FFFFF7ED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4" fillId="6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0" xfId="0" applyAlignment="1">
      <alignment vertical="top"/>
    </xf>
    <xf numFmtId="0" fontId="3" fillId="4" borderId="1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164" fontId="0" fillId="0" borderId="6" xfId="0" applyNumberFormat="1" applyBorder="1" applyAlignment="1">
      <alignment vertical="top" wrapText="1"/>
    </xf>
    <xf numFmtId="164" fontId="0" fillId="0" borderId="4" xfId="0" applyNumberFormat="1" applyBorder="1" applyAlignment="1">
      <alignment vertical="top" wrapText="1"/>
    </xf>
    <xf numFmtId="0" fontId="4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top"/>
    </xf>
    <xf numFmtId="0" fontId="2" fillId="3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5" borderId="3" xfId="0" applyFill="1" applyBorder="1" applyAlignment="1">
      <alignment vertical="top" wrapText="1"/>
    </xf>
    <xf numFmtId="0" fontId="0" fillId="5" borderId="4" xfId="0" applyFill="1" applyBorder="1" applyAlignment="1">
      <alignment vertical="top" wrapText="1"/>
    </xf>
    <xf numFmtId="0" fontId="5" fillId="7" borderId="0" xfId="0" applyFont="1" applyFill="1" applyAlignment="1">
      <alignment wrapText="1"/>
    </xf>
  </cellXfs>
  <cellStyles count="1">
    <cellStyle name="Normal" xfId="0" builtinId="0"/>
  </cellStyles>
  <dxfs count="9">
    <dxf>
      <fill>
        <patternFill>
          <bgColor rgb="FFF8FAFC"/>
        </patternFill>
      </fill>
    </dxf>
    <dxf>
      <fill>
        <patternFill>
          <bgColor rgb="FFDCFCE7"/>
        </patternFill>
      </fill>
    </dxf>
    <dxf>
      <fill>
        <patternFill>
          <bgColor rgb="FFE2E8F0"/>
        </patternFill>
      </fill>
    </dxf>
    <dxf>
      <fill>
        <patternFill>
          <bgColor rgb="FFEDE9FE"/>
        </patternFill>
      </fill>
    </dxf>
    <dxf>
      <fill>
        <patternFill>
          <bgColor rgb="FFDCFCE7"/>
        </patternFill>
      </fill>
    </dxf>
    <dxf>
      <fill>
        <patternFill>
          <bgColor rgb="FFEDE9FE"/>
        </patternFill>
      </fill>
    </dxf>
    <dxf>
      <fill>
        <patternFill>
          <bgColor rgb="FFFECACA"/>
        </patternFill>
      </fill>
    </dxf>
    <dxf>
      <fill>
        <patternFill>
          <bgColor rgb="FFFDE68A"/>
        </patternFill>
      </fill>
    </dxf>
    <dxf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ckendV1Tasks" displayName="BackendV1Tasks" ref="A1:M81" totalsRowShown="0">
  <tableColumns count="13">
    <tableColumn id="1" xr3:uid="{00000000-0010-0000-0000-000001000000}" name="ID"/>
    <tableColumn id="2" xr3:uid="{00000000-0010-0000-0000-000002000000}" name="Section"/>
    <tableColumn id="3" xr3:uid="{00000000-0010-0000-0000-000003000000}" name="Method / Task"/>
    <tableColumn id="4" xr3:uid="{00000000-0010-0000-0000-000004000000}" name="Description"/>
    <tableColumn id="5" xr3:uid="{00000000-0010-0000-0000-000005000000}" name="Acceptance Criteria"/>
    <tableColumn id="6" xr3:uid="{00000000-0010-0000-0000-000006000000}" name="Role"/>
    <tableColumn id="7" xr3:uid="{00000000-0010-0000-0000-000007000000}" name="Priority"/>
    <tableColumn id="8" xr3:uid="{00000000-0010-0000-0000-000008000000}" name="SP"/>
    <tableColumn id="9" xr3:uid="{00000000-0010-0000-0000-000009000000}" name="Owner"/>
    <tableColumn id="10" xr3:uid="{00000000-0010-0000-0000-00000A000000}" name="Spec Week"/>
    <tableColumn id="11" xr3:uid="{00000000-0010-0000-0000-00000B000000}" name="Tracker Status"/>
    <tableColumn id="12" xr3:uid="{00000000-0010-0000-0000-00000C000000}" name="Current Evidence / Notes"/>
    <tableColumn id="13" xr3:uid="{00000000-0010-0000-0000-00000D000000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rchitectureAdditions" displayName="ArchitectureAdditions" ref="A1:I21" totalsRowShown="0">
  <tableColumns count="9">
    <tableColumn id="1" xr3:uid="{00000000-0010-0000-0100-000001000000}" name="ID"/>
    <tableColumn id="2" xr3:uid="{00000000-0010-0000-0100-000002000000}" name="Area"/>
    <tableColumn id="3" xr3:uid="{00000000-0010-0000-0100-000003000000}" name="Supplemental Task"/>
    <tableColumn id="4" xr3:uid="{00000000-0010-0000-0100-000004000000}" name="Requirement / Work"/>
    <tableColumn id="5" xr3:uid="{00000000-0010-0000-0100-000005000000}" name="Acceptance Criteria"/>
    <tableColumn id="6" xr3:uid="{00000000-0010-0000-0100-000006000000}" name="Priority"/>
    <tableColumn id="7" xr3:uid="{00000000-0010-0000-0100-000007000000}" name="Source"/>
    <tableColumn id="8" xr3:uid="{00000000-0010-0000-0100-000008000000}" name="Status"/>
    <tableColumn id="9" xr3:uid="{00000000-0010-0000-0100-000009000000}" name="Why It Was Add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copeDecisionTable" displayName="ScopeDecisionTable" ref="A1:F8" totalsRowShown="0">
  <tableColumns count="6">
    <tableColumn id="1" xr3:uid="{00000000-0010-0000-0200-000001000000}" name="ID"/>
    <tableColumn id="2" xr3:uid="{00000000-0010-0000-0200-000002000000}" name="Issue / Decision"/>
    <tableColumn id="3" xr3:uid="{00000000-0010-0000-0200-000003000000}" name="Observed from Sources"/>
    <tableColumn id="4" xr3:uid="{00000000-0010-0000-0200-000004000000}" name="Tracker Treatment"/>
    <tableColumn id="5" xr3:uid="{00000000-0010-0000-0200-000005000000}" name="Severity"/>
    <tableColumn id="6" xr3:uid="{00000000-0010-0000-0200-000006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E7" sqref="E7"/>
    </sheetView>
  </sheetViews>
  <sheetFormatPr defaultRowHeight="13.8"/>
  <cols>
    <col min="1" max="1" width="28" customWidth="1"/>
    <col min="2" max="2" width="18" customWidth="1"/>
    <col min="3" max="3" width="4" customWidth="1"/>
    <col min="4" max="4" width="28" customWidth="1"/>
    <col min="5" max="5" width="18" customWidth="1"/>
    <col min="6" max="6" width="4" customWidth="1"/>
    <col min="7" max="8" width="28" customWidth="1"/>
  </cols>
  <sheetData>
    <row r="1" spans="1:8" ht="22.35" customHeight="1">
      <c r="A1" s="23" t="s">
        <v>0</v>
      </c>
      <c r="B1" s="23"/>
      <c r="C1" s="23"/>
      <c r="D1" s="23"/>
      <c r="E1" s="23"/>
      <c r="F1" s="23"/>
      <c r="G1" s="23"/>
      <c r="H1" s="23"/>
    </row>
    <row r="2" spans="1:8" ht="22.35" customHeight="1">
      <c r="A2" s="24" t="s">
        <v>1</v>
      </c>
      <c r="B2" s="24"/>
      <c r="C2" s="24"/>
      <c r="D2" s="24"/>
      <c r="E2" s="24"/>
      <c r="F2" s="24"/>
      <c r="G2" s="24"/>
      <c r="H2" s="24"/>
    </row>
    <row r="3" spans="1:8">
      <c r="A3" s="15"/>
      <c r="B3" s="15"/>
      <c r="C3" s="15"/>
      <c r="D3" s="15"/>
      <c r="E3" s="15"/>
      <c r="F3" s="15"/>
      <c r="G3" s="15"/>
      <c r="H3" s="15"/>
    </row>
    <row r="4" spans="1:8" ht="17.55" customHeight="1">
      <c r="A4" s="16" t="s">
        <v>2</v>
      </c>
      <c r="B4" s="17" t="s">
        <v>3</v>
      </c>
      <c r="C4" s="10"/>
      <c r="D4" s="16" t="s">
        <v>4</v>
      </c>
      <c r="E4" s="17" t="s">
        <v>3</v>
      </c>
      <c r="F4" s="10"/>
      <c r="G4" s="16" t="s">
        <v>5</v>
      </c>
      <c r="H4" s="17" t="s">
        <v>3</v>
      </c>
    </row>
    <row r="5" spans="1:8" ht="17.55" customHeight="1">
      <c r="A5" s="9" t="s">
        <v>6</v>
      </c>
      <c r="B5" s="11">
        <f>COUNTA('Backend V1'!$A$2:$A$81)</f>
        <v>80</v>
      </c>
      <c r="C5" s="10"/>
      <c r="D5" s="9" t="s">
        <v>7</v>
      </c>
      <c r="E5" s="11">
        <v>45</v>
      </c>
      <c r="F5" s="10"/>
      <c r="G5" s="9" t="s">
        <v>8</v>
      </c>
      <c r="H5" s="11">
        <v>20</v>
      </c>
    </row>
    <row r="6" spans="1:8" ht="17.55" customHeight="1">
      <c r="A6" s="9" t="s">
        <v>9</v>
      </c>
      <c r="B6" s="11">
        <f>SUM('Backend V1'!$H$2:$H$81)</f>
        <v>185</v>
      </c>
      <c r="C6" s="10"/>
      <c r="D6" s="9" t="s">
        <v>10</v>
      </c>
      <c r="E6" s="11">
        <v>35</v>
      </c>
      <c r="F6" s="10"/>
      <c r="G6" s="9" t="s">
        <v>11</v>
      </c>
      <c r="H6" s="11">
        <v>7</v>
      </c>
    </row>
    <row r="7" spans="1:8" ht="17.55" customHeight="1">
      <c r="A7" s="9" t="s">
        <v>12</v>
      </c>
      <c r="B7" s="11">
        <f>COUNTIF('Backend V1'!$K$2:$K$81,"Done")</f>
        <v>1</v>
      </c>
      <c r="C7" s="10"/>
      <c r="D7" s="9" t="s">
        <v>13</v>
      </c>
      <c r="E7" s="11">
        <v>136</v>
      </c>
      <c r="F7" s="10"/>
      <c r="G7" s="9" t="s">
        <v>14</v>
      </c>
      <c r="H7" s="11" t="s">
        <v>15</v>
      </c>
    </row>
    <row r="8" spans="1:8" ht="17.55" customHeight="1">
      <c r="A8" s="9" t="s">
        <v>16</v>
      </c>
      <c r="B8" s="11">
        <f>SUMIF('Backend V1'!$K$2:$K$81,"Done",'Backend V1'!$H$2:$H$81)</f>
        <v>1</v>
      </c>
      <c r="C8" s="10"/>
      <c r="D8" s="9" t="s">
        <v>17</v>
      </c>
      <c r="E8" s="11">
        <v>107</v>
      </c>
      <c r="F8" s="10"/>
      <c r="G8" s="9" t="s">
        <v>18</v>
      </c>
      <c r="H8" s="11" t="s">
        <v>19</v>
      </c>
    </row>
    <row r="9" spans="1:8" ht="17.55" customHeight="1">
      <c r="A9" s="12" t="s">
        <v>20</v>
      </c>
      <c r="B9" s="18">
        <f>IFERROR(B8/B6,0)</f>
        <v>5.4054054054054057E-3</v>
      </c>
      <c r="C9" s="10"/>
      <c r="D9" s="9" t="s">
        <v>21</v>
      </c>
      <c r="E9" s="19">
        <f>E6/E5</f>
        <v>0.77777777777777779</v>
      </c>
      <c r="F9" s="10"/>
      <c r="G9" s="12" t="s">
        <v>22</v>
      </c>
      <c r="H9" s="14" t="s">
        <v>23</v>
      </c>
    </row>
    <row r="10" spans="1:8" ht="17.55" customHeight="1">
      <c r="A10" s="10"/>
      <c r="B10" s="10"/>
      <c r="C10" s="10"/>
      <c r="D10" s="12" t="s">
        <v>24</v>
      </c>
      <c r="E10" s="18">
        <f>E8/E7</f>
        <v>0.78676470588235292</v>
      </c>
      <c r="F10" s="10"/>
      <c r="G10" s="10"/>
      <c r="H10" s="10"/>
    </row>
    <row r="11" spans="1:8" ht="17.55" customHeight="1">
      <c r="A11" s="10"/>
      <c r="B11" s="10"/>
      <c r="C11" s="10"/>
      <c r="D11" s="10"/>
      <c r="E11" s="10"/>
      <c r="F11" s="10"/>
      <c r="G11" s="10"/>
      <c r="H11" s="10"/>
    </row>
    <row r="12" spans="1:8" ht="17.55" customHeight="1">
      <c r="A12" s="16" t="s">
        <v>25</v>
      </c>
      <c r="B12" s="17" t="s">
        <v>26</v>
      </c>
      <c r="C12" s="10"/>
      <c r="D12" s="16" t="s">
        <v>27</v>
      </c>
      <c r="E12" s="17" t="s">
        <v>28</v>
      </c>
      <c r="F12" s="10"/>
      <c r="G12" s="1" t="s">
        <v>29</v>
      </c>
      <c r="H12" s="2" t="s">
        <v>3</v>
      </c>
    </row>
    <row r="13" spans="1:8" ht="17.55" customHeight="1">
      <c r="A13" s="9" t="s">
        <v>30</v>
      </c>
      <c r="B13" s="11">
        <f>COUNTIF('Backend V1'!$K$2:$K$81,"Done")</f>
        <v>1</v>
      </c>
      <c r="C13" s="10"/>
      <c r="D13" s="9" t="s">
        <v>31</v>
      </c>
      <c r="E13" s="11">
        <f>SUMIF('Backend V1'!$B$2:$B$81,D13,'Backend V1'!$H$2:$H$81)</f>
        <v>18</v>
      </c>
      <c r="F13" s="10"/>
      <c r="G13" s="9" t="s">
        <v>32</v>
      </c>
      <c r="H13" s="11">
        <v>72</v>
      </c>
    </row>
    <row r="14" spans="1:8" ht="17.55" customHeight="1">
      <c r="A14" s="9" t="s">
        <v>33</v>
      </c>
      <c r="B14" s="11">
        <f>COUNTIF('Backend V1'!$K$2:$K$81,"Partially Done")</f>
        <v>2</v>
      </c>
      <c r="C14" s="10"/>
      <c r="D14" s="9" t="s">
        <v>34</v>
      </c>
      <c r="E14" s="11">
        <f>SUMIF('Backend V1'!$B$2:$B$81,D14,'Backend V1'!$H$2:$H$81)</f>
        <v>19</v>
      </c>
      <c r="F14" s="10"/>
      <c r="G14" s="9" t="s">
        <v>35</v>
      </c>
      <c r="H14" s="11">
        <v>168</v>
      </c>
    </row>
    <row r="15" spans="1:8" ht="17.55" customHeight="1">
      <c r="A15" s="9" t="s">
        <v>36</v>
      </c>
      <c r="B15" s="11">
        <f>COUNTIF('Backend V1'!$K$2:$K$81,"In Progress")</f>
        <v>0</v>
      </c>
      <c r="C15" s="10"/>
      <c r="D15" s="9" t="s">
        <v>37</v>
      </c>
      <c r="E15" s="11">
        <f>SUMIF('Backend V1'!$B$2:$B$81,D15,'Backend V1'!$H$2:$H$81)</f>
        <v>13</v>
      </c>
      <c r="F15" s="10"/>
      <c r="G15" s="9" t="s">
        <v>38</v>
      </c>
      <c r="H15" s="11">
        <f>B5</f>
        <v>80</v>
      </c>
    </row>
    <row r="16" spans="1:8" ht="17.55" customHeight="1">
      <c r="A16" s="9" t="s">
        <v>39</v>
      </c>
      <c r="B16" s="11">
        <f>COUNTIF('Backend V1'!$K$2:$K$81,"Needs Rework")</f>
        <v>2</v>
      </c>
      <c r="C16" s="10"/>
      <c r="D16" s="9" t="s">
        <v>40</v>
      </c>
      <c r="E16" s="11">
        <f>SUMIF('Backend V1'!$B$2:$B$81,D16,'Backend V1'!$H$2:$H$81)</f>
        <v>12</v>
      </c>
      <c r="F16" s="10"/>
      <c r="G16" s="9" t="s">
        <v>41</v>
      </c>
      <c r="H16" s="11">
        <f>B6</f>
        <v>185</v>
      </c>
    </row>
    <row r="17" spans="1:8" ht="17.55" customHeight="1">
      <c r="A17" s="9" t="s">
        <v>42</v>
      </c>
      <c r="B17" s="11">
        <f>COUNTIF('Backend V1'!$K$2:$K$81,"Todo")</f>
        <v>75</v>
      </c>
      <c r="C17" s="10"/>
      <c r="D17" s="9" t="s">
        <v>43</v>
      </c>
      <c r="E17" s="11">
        <f>SUMIF('Backend V1'!$B$2:$B$81,D17,'Backend V1'!$H$2:$H$81)</f>
        <v>33</v>
      </c>
      <c r="F17" s="10"/>
      <c r="G17" s="9" t="s">
        <v>44</v>
      </c>
      <c r="H17" s="11">
        <f>H15-H13</f>
        <v>8</v>
      </c>
    </row>
    <row r="18" spans="1:8" ht="17.55" customHeight="1">
      <c r="A18" s="12" t="s">
        <v>45</v>
      </c>
      <c r="B18" s="14">
        <f>COUNTIF('Backend V1'!$K$2:$K$81,"Scope Review")</f>
        <v>0</v>
      </c>
      <c r="C18" s="10"/>
      <c r="D18" s="9" t="s">
        <v>46</v>
      </c>
      <c r="E18" s="11">
        <f>SUMIF('Backend V1'!$B$2:$B$81,D18,'Backend V1'!$H$2:$H$81)</f>
        <v>9</v>
      </c>
      <c r="F18" s="10"/>
      <c r="G18" s="12" t="s">
        <v>47</v>
      </c>
      <c r="H18" s="14">
        <f>H16-H14</f>
        <v>17</v>
      </c>
    </row>
    <row r="19" spans="1:8">
      <c r="A19" s="10"/>
      <c r="B19" s="10"/>
      <c r="C19" s="10"/>
      <c r="D19" s="9" t="s">
        <v>48</v>
      </c>
      <c r="E19" s="11">
        <f>SUMIF('Backend V1'!$B$2:$B$81,D19,'Backend V1'!$H$2:$H$81)</f>
        <v>10</v>
      </c>
      <c r="F19" s="10"/>
      <c r="G19" s="10"/>
      <c r="H19" s="10"/>
    </row>
    <row r="20" spans="1:8">
      <c r="A20" s="10"/>
      <c r="B20" s="10"/>
      <c r="C20" s="10"/>
      <c r="D20" s="9" t="s">
        <v>49</v>
      </c>
      <c r="E20" s="11">
        <f>SUMIF('Backend V1'!$B$2:$B$81,D20,'Backend V1'!$H$2:$H$81)</f>
        <v>5</v>
      </c>
      <c r="F20" s="10"/>
      <c r="G20" s="10"/>
      <c r="H20" s="10"/>
    </row>
    <row r="21" spans="1:8">
      <c r="A21" s="25" t="s">
        <v>50</v>
      </c>
      <c r="B21" s="25"/>
      <c r="C21" s="25"/>
      <c r="D21" s="26"/>
      <c r="E21" s="27" t="s">
        <v>51</v>
      </c>
      <c r="F21" s="25"/>
      <c r="G21" s="25" t="s">
        <v>52</v>
      </c>
      <c r="H21" s="25"/>
    </row>
    <row r="22" spans="1:8">
      <c r="A22" s="25"/>
      <c r="B22" s="25"/>
      <c r="C22" s="25"/>
      <c r="D22" s="26" t="s">
        <v>53</v>
      </c>
      <c r="E22" s="27">
        <f>SUMIF('Backend V1'!$B$2:$B$81,D22,'Backend V1'!$H$2:$H$81)</f>
        <v>4</v>
      </c>
      <c r="F22" s="25"/>
      <c r="G22" s="25"/>
      <c r="H22" s="25"/>
    </row>
    <row r="23" spans="1:8">
      <c r="A23" s="25"/>
      <c r="B23" s="25"/>
      <c r="C23" s="25"/>
      <c r="D23" s="26" t="s">
        <v>54</v>
      </c>
      <c r="E23" s="27">
        <f>SUMIF('Backend V1'!$B$2:$B$81,D23,'Backend V1'!$H$2:$H$81)</f>
        <v>10</v>
      </c>
      <c r="F23" s="25"/>
      <c r="G23" s="25"/>
      <c r="H23" s="25"/>
    </row>
    <row r="24" spans="1:8">
      <c r="A24" s="25"/>
      <c r="B24" s="25"/>
      <c r="C24" s="25"/>
      <c r="D24" s="26" t="s">
        <v>55</v>
      </c>
      <c r="E24" s="27">
        <f>SUMIF('Backend V1'!$B$2:$B$81,D24,'Backend V1'!$H$2:$H$81)</f>
        <v>15</v>
      </c>
      <c r="F24" s="25"/>
      <c r="G24" s="25"/>
      <c r="H24" s="25"/>
    </row>
    <row r="25" spans="1:8">
      <c r="D25" s="3" t="s">
        <v>56</v>
      </c>
      <c r="E25" s="4">
        <f>SUMIF('Backend V1'!$B$2:$B$81,D25,'Backend V1'!$H$2:$H$81)</f>
        <v>26</v>
      </c>
    </row>
    <row r="27" spans="1:8">
      <c r="A27" s="28" t="s">
        <v>57</v>
      </c>
      <c r="B27" s="28"/>
      <c r="C27" s="28"/>
      <c r="D27" s="28"/>
      <c r="E27" s="28"/>
      <c r="F27" s="28"/>
      <c r="G27" s="28"/>
      <c r="H27" s="28"/>
    </row>
    <row r="28" spans="1:8">
      <c r="A28" s="28"/>
      <c r="B28" s="28"/>
      <c r="C28" s="28"/>
      <c r="D28" s="28"/>
      <c r="E28" s="28"/>
      <c r="F28" s="28"/>
      <c r="G28" s="28"/>
      <c r="H28" s="28"/>
    </row>
    <row r="29" spans="1:8">
      <c r="A29" s="28"/>
      <c r="B29" s="28"/>
      <c r="C29" s="28"/>
      <c r="D29" s="28"/>
      <c r="E29" s="28"/>
      <c r="F29" s="28"/>
      <c r="G29" s="28"/>
      <c r="H29" s="28"/>
    </row>
    <row r="30" spans="1:8">
      <c r="A30" s="28"/>
      <c r="B30" s="28"/>
      <c r="C30" s="28"/>
      <c r="D30" s="28"/>
      <c r="E30" s="28"/>
      <c r="F30" s="28"/>
      <c r="G30" s="28"/>
      <c r="H30" s="28"/>
    </row>
  </sheetData>
  <mergeCells count="4">
    <mergeCell ref="A1:H1"/>
    <mergeCell ref="A2:H2"/>
    <mergeCell ref="A21:H24"/>
    <mergeCell ref="A27:H30"/>
  </mergeCells>
  <conditionalFormatting sqref="E13:E25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E13:E25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1"/>
  <sheetViews>
    <sheetView topLeftCell="C1" workbookViewId="0"/>
  </sheetViews>
  <sheetFormatPr defaultRowHeight="13.8"/>
  <cols>
    <col min="1" max="1" width="12" customWidth="1"/>
    <col min="2" max="2" width="30" customWidth="1"/>
    <col min="3" max="3" width="34" customWidth="1"/>
    <col min="4" max="4" width="54" customWidth="1"/>
    <col min="5" max="5" width="62" customWidth="1"/>
    <col min="6" max="6" width="12" customWidth="1"/>
    <col min="7" max="7" width="10" customWidth="1"/>
    <col min="8" max="8" width="8" customWidth="1"/>
    <col min="9" max="9" width="10" customWidth="1"/>
    <col min="10" max="10" width="12" customWidth="1"/>
    <col min="11" max="11" width="14" customWidth="1"/>
    <col min="12" max="12" width="16" customWidth="1"/>
    <col min="13" max="13" width="56" customWidth="1"/>
  </cols>
  <sheetData>
    <row r="1" spans="1:13">
      <c r="A1" s="5" t="s">
        <v>58</v>
      </c>
      <c r="B1" s="5" t="s">
        <v>59</v>
      </c>
      <c r="C1" s="5" t="s">
        <v>60</v>
      </c>
      <c r="D1" s="5" t="s">
        <v>61</v>
      </c>
      <c r="E1" s="5" t="s">
        <v>62</v>
      </c>
      <c r="F1" s="5" t="s">
        <v>63</v>
      </c>
      <c r="G1" s="5" t="s">
        <v>64</v>
      </c>
      <c r="H1" s="5" t="s">
        <v>28</v>
      </c>
      <c r="I1" s="5" t="s">
        <v>65</v>
      </c>
      <c r="J1" s="5" t="s">
        <v>66</v>
      </c>
      <c r="K1" s="5" t="s">
        <v>67</v>
      </c>
      <c r="L1" s="5" t="s">
        <v>68</v>
      </c>
      <c r="M1" s="5" t="s">
        <v>743</v>
      </c>
    </row>
    <row r="2" spans="1:13" ht="41.4">
      <c r="A2" s="6" t="s">
        <v>69</v>
      </c>
      <c r="B2" s="7" t="s">
        <v>31</v>
      </c>
      <c r="C2" s="7" t="s">
        <v>70</v>
      </c>
      <c r="D2" s="7" t="s">
        <v>71</v>
      </c>
      <c r="E2" s="7" t="s">
        <v>72</v>
      </c>
      <c r="F2" s="7" t="s">
        <v>73</v>
      </c>
      <c r="G2" s="7" t="s">
        <v>74</v>
      </c>
      <c r="H2" s="7">
        <v>2</v>
      </c>
      <c r="I2" s="7" t="s">
        <v>75</v>
      </c>
      <c r="J2" s="7" t="s">
        <v>76</v>
      </c>
      <c r="K2" s="7" t="s">
        <v>42</v>
      </c>
      <c r="L2" s="7"/>
      <c r="M2" s="8"/>
    </row>
    <row r="3" spans="1:13" ht="138">
      <c r="A3" s="9" t="s">
        <v>77</v>
      </c>
      <c r="B3" s="10" t="s">
        <v>31</v>
      </c>
      <c r="C3" s="10" t="s">
        <v>78</v>
      </c>
      <c r="D3" s="10" t="s">
        <v>79</v>
      </c>
      <c r="E3" s="10" t="s">
        <v>80</v>
      </c>
      <c r="F3" s="10" t="s">
        <v>73</v>
      </c>
      <c r="G3" s="10" t="s">
        <v>74</v>
      </c>
      <c r="H3" s="10">
        <v>4</v>
      </c>
      <c r="I3" s="10" t="s">
        <v>75</v>
      </c>
      <c r="J3" s="10" t="s">
        <v>76</v>
      </c>
      <c r="K3" s="10" t="s">
        <v>39</v>
      </c>
      <c r="L3" s="10" t="s">
        <v>81</v>
      </c>
      <c r="M3" s="11"/>
    </row>
    <row r="4" spans="1:13" ht="124.2">
      <c r="A4" s="9" t="s">
        <v>82</v>
      </c>
      <c r="B4" s="10" t="s">
        <v>31</v>
      </c>
      <c r="C4" s="10" t="s">
        <v>83</v>
      </c>
      <c r="D4" s="10" t="s">
        <v>84</v>
      </c>
      <c r="E4" s="10" t="s">
        <v>85</v>
      </c>
      <c r="F4" s="10" t="s">
        <v>73</v>
      </c>
      <c r="G4" s="10" t="s">
        <v>74</v>
      </c>
      <c r="H4" s="10">
        <v>2</v>
      </c>
      <c r="I4" s="10" t="s">
        <v>75</v>
      </c>
      <c r="J4" s="10" t="s">
        <v>76</v>
      </c>
      <c r="K4" s="10" t="s">
        <v>39</v>
      </c>
      <c r="L4" s="10" t="s">
        <v>86</v>
      </c>
      <c r="M4" s="11"/>
    </row>
    <row r="5" spans="1:13" ht="179.4">
      <c r="A5" s="9" t="s">
        <v>87</v>
      </c>
      <c r="B5" s="10" t="s">
        <v>31</v>
      </c>
      <c r="C5" s="10" t="s">
        <v>88</v>
      </c>
      <c r="D5" s="10" t="s">
        <v>89</v>
      </c>
      <c r="E5" s="10" t="s">
        <v>90</v>
      </c>
      <c r="F5" s="10" t="s">
        <v>73</v>
      </c>
      <c r="G5" s="10" t="s">
        <v>74</v>
      </c>
      <c r="H5" s="10">
        <v>2</v>
      </c>
      <c r="I5" s="10" t="s">
        <v>75</v>
      </c>
      <c r="J5" s="10" t="s">
        <v>76</v>
      </c>
      <c r="K5" s="10" t="s">
        <v>33</v>
      </c>
      <c r="L5" s="10" t="s">
        <v>91</v>
      </c>
      <c r="M5" s="11"/>
    </row>
    <row r="6" spans="1:13" ht="69">
      <c r="A6" s="9" t="s">
        <v>92</v>
      </c>
      <c r="B6" s="10" t="s">
        <v>31</v>
      </c>
      <c r="C6" s="10" t="s">
        <v>93</v>
      </c>
      <c r="D6" s="10" t="s">
        <v>94</v>
      </c>
      <c r="E6" s="10" t="s">
        <v>95</v>
      </c>
      <c r="F6" s="10" t="s">
        <v>73</v>
      </c>
      <c r="G6" s="10" t="s">
        <v>74</v>
      </c>
      <c r="H6" s="10">
        <v>1</v>
      </c>
      <c r="I6" s="10" t="s">
        <v>75</v>
      </c>
      <c r="J6" s="10" t="s">
        <v>76</v>
      </c>
      <c r="K6" s="10" t="s">
        <v>30</v>
      </c>
      <c r="L6" s="10" t="s">
        <v>96</v>
      </c>
      <c r="M6" s="11"/>
    </row>
    <row r="7" spans="1:13" ht="138">
      <c r="A7" s="9" t="s">
        <v>97</v>
      </c>
      <c r="B7" s="10" t="s">
        <v>31</v>
      </c>
      <c r="C7" s="10" t="s">
        <v>98</v>
      </c>
      <c r="D7" s="10" t="s">
        <v>99</v>
      </c>
      <c r="E7" s="10" t="s">
        <v>100</v>
      </c>
      <c r="F7" s="10" t="s">
        <v>73</v>
      </c>
      <c r="G7" s="10" t="s">
        <v>74</v>
      </c>
      <c r="H7" s="10">
        <v>2</v>
      </c>
      <c r="I7" s="10" t="s">
        <v>75</v>
      </c>
      <c r="J7" s="10" t="s">
        <v>76</v>
      </c>
      <c r="K7" s="10" t="s">
        <v>42</v>
      </c>
      <c r="L7" s="10" t="s">
        <v>101</v>
      </c>
      <c r="M7" s="11"/>
    </row>
    <row r="8" spans="1:13" ht="151.80000000000001">
      <c r="A8" s="9" t="s">
        <v>102</v>
      </c>
      <c r="B8" s="10" t="s">
        <v>31</v>
      </c>
      <c r="C8" s="10" t="s">
        <v>103</v>
      </c>
      <c r="D8" s="10" t="s">
        <v>104</v>
      </c>
      <c r="E8" s="10" t="s">
        <v>105</v>
      </c>
      <c r="F8" s="10" t="s">
        <v>73</v>
      </c>
      <c r="G8" s="10" t="s">
        <v>106</v>
      </c>
      <c r="H8" s="10">
        <v>3</v>
      </c>
      <c r="I8" s="10" t="s">
        <v>75</v>
      </c>
      <c r="J8" s="10" t="s">
        <v>107</v>
      </c>
      <c r="K8" s="10" t="s">
        <v>33</v>
      </c>
      <c r="L8" s="10" t="s">
        <v>108</v>
      </c>
      <c r="M8" s="11"/>
    </row>
    <row r="9" spans="1:13" ht="27.6">
      <c r="A9" s="9" t="s">
        <v>109</v>
      </c>
      <c r="B9" s="10" t="s">
        <v>31</v>
      </c>
      <c r="C9" s="10" t="s">
        <v>110</v>
      </c>
      <c r="D9" s="10" t="s">
        <v>111</v>
      </c>
      <c r="E9" s="10" t="s">
        <v>112</v>
      </c>
      <c r="F9" s="10" t="s">
        <v>73</v>
      </c>
      <c r="G9" s="10" t="s">
        <v>74</v>
      </c>
      <c r="H9" s="10">
        <v>2</v>
      </c>
      <c r="I9" s="10" t="s">
        <v>75</v>
      </c>
      <c r="J9" s="10" t="s">
        <v>76</v>
      </c>
      <c r="K9" s="10" t="s">
        <v>42</v>
      </c>
      <c r="L9" s="10"/>
      <c r="M9" s="11"/>
    </row>
    <row r="10" spans="1:13" ht="27.6">
      <c r="A10" s="9" t="s">
        <v>113</v>
      </c>
      <c r="B10" s="10" t="s">
        <v>34</v>
      </c>
      <c r="C10" s="10" t="s">
        <v>114</v>
      </c>
      <c r="D10" s="10" t="s">
        <v>115</v>
      </c>
      <c r="E10" s="10" t="s">
        <v>116</v>
      </c>
      <c r="F10" s="10" t="s">
        <v>117</v>
      </c>
      <c r="G10" s="10" t="s">
        <v>74</v>
      </c>
      <c r="H10" s="10">
        <v>3</v>
      </c>
      <c r="I10" s="10" t="s">
        <v>118</v>
      </c>
      <c r="J10" s="10" t="s">
        <v>107</v>
      </c>
      <c r="K10" s="10" t="s">
        <v>42</v>
      </c>
      <c r="L10" s="10"/>
      <c r="M10" s="11"/>
    </row>
    <row r="11" spans="1:13" ht="27.6">
      <c r="A11" s="9" t="s">
        <v>119</v>
      </c>
      <c r="B11" s="10" t="s">
        <v>34</v>
      </c>
      <c r="C11" s="10" t="s">
        <v>120</v>
      </c>
      <c r="D11" s="10" t="s">
        <v>121</v>
      </c>
      <c r="E11" s="10" t="s">
        <v>122</v>
      </c>
      <c r="F11" s="10" t="s">
        <v>117</v>
      </c>
      <c r="G11" s="10" t="s">
        <v>74</v>
      </c>
      <c r="H11" s="10">
        <v>3</v>
      </c>
      <c r="I11" s="10" t="s">
        <v>118</v>
      </c>
      <c r="J11" s="10" t="s">
        <v>107</v>
      </c>
      <c r="K11" s="10" t="s">
        <v>42</v>
      </c>
      <c r="L11" s="10"/>
      <c r="M11" s="11"/>
    </row>
    <row r="12" spans="1:13" ht="41.4">
      <c r="A12" s="9" t="s">
        <v>123</v>
      </c>
      <c r="B12" s="10" t="s">
        <v>34</v>
      </c>
      <c r="C12" s="10" t="s">
        <v>124</v>
      </c>
      <c r="D12" s="10" t="s">
        <v>125</v>
      </c>
      <c r="E12" s="10" t="s">
        <v>126</v>
      </c>
      <c r="F12" s="10" t="s">
        <v>73</v>
      </c>
      <c r="G12" s="10" t="s">
        <v>74</v>
      </c>
      <c r="H12" s="10">
        <v>2</v>
      </c>
      <c r="I12" s="10" t="s">
        <v>118</v>
      </c>
      <c r="J12" s="10" t="s">
        <v>107</v>
      </c>
      <c r="K12" s="10" t="s">
        <v>42</v>
      </c>
      <c r="L12" s="10"/>
      <c r="M12" s="11"/>
    </row>
    <row r="13" spans="1:13" ht="27.6">
      <c r="A13" s="9" t="s">
        <v>127</v>
      </c>
      <c r="B13" s="10" t="s">
        <v>34</v>
      </c>
      <c r="C13" s="10" t="s">
        <v>128</v>
      </c>
      <c r="D13" s="10" t="s">
        <v>129</v>
      </c>
      <c r="E13" s="10" t="s">
        <v>130</v>
      </c>
      <c r="F13" s="10" t="s">
        <v>73</v>
      </c>
      <c r="G13" s="10" t="s">
        <v>74</v>
      </c>
      <c r="H13" s="10">
        <v>1</v>
      </c>
      <c r="I13" s="10" t="s">
        <v>118</v>
      </c>
      <c r="J13" s="10" t="s">
        <v>107</v>
      </c>
      <c r="K13" s="10" t="s">
        <v>42</v>
      </c>
      <c r="L13" s="10"/>
      <c r="M13" s="11"/>
    </row>
    <row r="14" spans="1:13" ht="41.4">
      <c r="A14" s="9" t="s">
        <v>131</v>
      </c>
      <c r="B14" s="10" t="s">
        <v>34</v>
      </c>
      <c r="C14" s="10" t="s">
        <v>132</v>
      </c>
      <c r="D14" s="10" t="s">
        <v>133</v>
      </c>
      <c r="E14" s="10" t="s">
        <v>134</v>
      </c>
      <c r="F14" s="10" t="s">
        <v>73</v>
      </c>
      <c r="G14" s="10" t="s">
        <v>74</v>
      </c>
      <c r="H14" s="10">
        <v>3</v>
      </c>
      <c r="I14" s="10" t="s">
        <v>118</v>
      </c>
      <c r="J14" s="10" t="s">
        <v>107</v>
      </c>
      <c r="K14" s="10" t="s">
        <v>42</v>
      </c>
      <c r="L14" s="10"/>
      <c r="M14" s="11"/>
    </row>
    <row r="15" spans="1:13" ht="27.6">
      <c r="A15" s="9" t="s">
        <v>135</v>
      </c>
      <c r="B15" s="10" t="s">
        <v>34</v>
      </c>
      <c r="C15" s="10" t="s">
        <v>136</v>
      </c>
      <c r="D15" s="10" t="s">
        <v>137</v>
      </c>
      <c r="E15" s="10" t="s">
        <v>138</v>
      </c>
      <c r="F15" s="10" t="s">
        <v>117</v>
      </c>
      <c r="G15" s="10" t="s">
        <v>74</v>
      </c>
      <c r="H15" s="10">
        <v>2</v>
      </c>
      <c r="I15" s="10" t="s">
        <v>118</v>
      </c>
      <c r="J15" s="10" t="s">
        <v>107</v>
      </c>
      <c r="K15" s="10" t="s">
        <v>42</v>
      </c>
      <c r="L15" s="10"/>
      <c r="M15" s="11"/>
    </row>
    <row r="16" spans="1:13" ht="27.6">
      <c r="A16" s="9" t="s">
        <v>139</v>
      </c>
      <c r="B16" s="10" t="s">
        <v>34</v>
      </c>
      <c r="C16" s="10" t="s">
        <v>140</v>
      </c>
      <c r="D16" s="10" t="s">
        <v>141</v>
      </c>
      <c r="E16" s="10" t="s">
        <v>142</v>
      </c>
      <c r="F16" s="10" t="s">
        <v>117</v>
      </c>
      <c r="G16" s="10" t="s">
        <v>74</v>
      </c>
      <c r="H16" s="10">
        <v>2</v>
      </c>
      <c r="I16" s="10" t="s">
        <v>118</v>
      </c>
      <c r="J16" s="10" t="s">
        <v>107</v>
      </c>
      <c r="K16" s="10" t="s">
        <v>42</v>
      </c>
      <c r="L16" s="10"/>
      <c r="M16" s="11"/>
    </row>
    <row r="17" spans="1:13" ht="27.6">
      <c r="A17" s="9" t="s">
        <v>143</v>
      </c>
      <c r="B17" s="10" t="s">
        <v>34</v>
      </c>
      <c r="C17" s="10" t="s">
        <v>144</v>
      </c>
      <c r="D17" s="10" t="s">
        <v>145</v>
      </c>
      <c r="E17" s="10" t="s">
        <v>146</v>
      </c>
      <c r="F17" s="10" t="s">
        <v>73</v>
      </c>
      <c r="G17" s="10" t="s">
        <v>74</v>
      </c>
      <c r="H17" s="10">
        <v>1</v>
      </c>
      <c r="I17" s="10" t="s">
        <v>118</v>
      </c>
      <c r="J17" s="10" t="s">
        <v>107</v>
      </c>
      <c r="K17" s="10" t="s">
        <v>42</v>
      </c>
      <c r="L17" s="10"/>
      <c r="M17" s="11"/>
    </row>
    <row r="18" spans="1:13" ht="27.6">
      <c r="A18" s="9" t="s">
        <v>147</v>
      </c>
      <c r="B18" s="10" t="s">
        <v>34</v>
      </c>
      <c r="C18" s="10" t="s">
        <v>148</v>
      </c>
      <c r="D18" s="10" t="s">
        <v>149</v>
      </c>
      <c r="E18" s="10" t="s">
        <v>150</v>
      </c>
      <c r="F18" s="10" t="s">
        <v>73</v>
      </c>
      <c r="G18" s="10" t="s">
        <v>106</v>
      </c>
      <c r="H18" s="10">
        <v>2</v>
      </c>
      <c r="I18" s="10" t="s">
        <v>118</v>
      </c>
      <c r="J18" s="10" t="s">
        <v>151</v>
      </c>
      <c r="K18" s="10" t="s">
        <v>42</v>
      </c>
      <c r="L18" s="10"/>
      <c r="M18" s="11"/>
    </row>
    <row r="19" spans="1:13" ht="41.4">
      <c r="A19" s="9" t="s">
        <v>152</v>
      </c>
      <c r="B19" s="10" t="s">
        <v>37</v>
      </c>
      <c r="C19" s="10" t="s">
        <v>153</v>
      </c>
      <c r="D19" s="10" t="s">
        <v>154</v>
      </c>
      <c r="E19" s="10" t="s">
        <v>155</v>
      </c>
      <c r="F19" s="10" t="s">
        <v>156</v>
      </c>
      <c r="G19" s="10" t="s">
        <v>74</v>
      </c>
      <c r="H19" s="10">
        <v>2</v>
      </c>
      <c r="I19" s="10" t="s">
        <v>118</v>
      </c>
      <c r="J19" s="10" t="s">
        <v>151</v>
      </c>
      <c r="K19" s="10" t="s">
        <v>42</v>
      </c>
      <c r="L19" s="10"/>
      <c r="M19" s="11"/>
    </row>
    <row r="20" spans="1:13" ht="27.6">
      <c r="A20" s="9" t="s">
        <v>157</v>
      </c>
      <c r="B20" s="10" t="s">
        <v>37</v>
      </c>
      <c r="C20" s="10" t="s">
        <v>158</v>
      </c>
      <c r="D20" s="10" t="s">
        <v>159</v>
      </c>
      <c r="E20" s="10" t="s">
        <v>160</v>
      </c>
      <c r="F20" s="10" t="s">
        <v>156</v>
      </c>
      <c r="G20" s="10" t="s">
        <v>74</v>
      </c>
      <c r="H20" s="10">
        <v>1</v>
      </c>
      <c r="I20" s="10" t="s">
        <v>118</v>
      </c>
      <c r="J20" s="10" t="s">
        <v>151</v>
      </c>
      <c r="K20" s="10" t="s">
        <v>42</v>
      </c>
      <c r="L20" s="10"/>
      <c r="M20" s="11"/>
    </row>
    <row r="21" spans="1:13" ht="27.6">
      <c r="A21" s="9" t="s">
        <v>161</v>
      </c>
      <c r="B21" s="10" t="s">
        <v>37</v>
      </c>
      <c r="C21" s="10" t="s">
        <v>162</v>
      </c>
      <c r="D21" s="10" t="s">
        <v>163</v>
      </c>
      <c r="E21" s="10" t="s">
        <v>164</v>
      </c>
      <c r="F21" s="10" t="s">
        <v>156</v>
      </c>
      <c r="G21" s="10" t="s">
        <v>74</v>
      </c>
      <c r="H21" s="10">
        <v>3</v>
      </c>
      <c r="I21" s="10" t="s">
        <v>118</v>
      </c>
      <c r="J21" s="10" t="s">
        <v>151</v>
      </c>
      <c r="K21" s="10" t="s">
        <v>42</v>
      </c>
      <c r="L21" s="10"/>
      <c r="M21" s="11"/>
    </row>
    <row r="22" spans="1:13" ht="27.6">
      <c r="A22" s="9" t="s">
        <v>165</v>
      </c>
      <c r="B22" s="10" t="s">
        <v>37</v>
      </c>
      <c r="C22" s="10" t="s">
        <v>166</v>
      </c>
      <c r="D22" s="10" t="s">
        <v>167</v>
      </c>
      <c r="E22" s="10" t="s">
        <v>168</v>
      </c>
      <c r="F22" s="10" t="s">
        <v>156</v>
      </c>
      <c r="G22" s="10" t="s">
        <v>74</v>
      </c>
      <c r="H22" s="10">
        <v>2</v>
      </c>
      <c r="I22" s="10" t="s">
        <v>118</v>
      </c>
      <c r="J22" s="10" t="s">
        <v>151</v>
      </c>
      <c r="K22" s="10" t="s">
        <v>42</v>
      </c>
      <c r="L22" s="10"/>
      <c r="M22" s="11"/>
    </row>
    <row r="23" spans="1:13" ht="27.6">
      <c r="A23" s="9" t="s">
        <v>169</v>
      </c>
      <c r="B23" s="10" t="s">
        <v>37</v>
      </c>
      <c r="C23" s="10" t="s">
        <v>170</v>
      </c>
      <c r="D23" s="10" t="s">
        <v>171</v>
      </c>
      <c r="E23" s="10" t="s">
        <v>172</v>
      </c>
      <c r="F23" s="10" t="s">
        <v>156</v>
      </c>
      <c r="G23" s="10" t="s">
        <v>74</v>
      </c>
      <c r="H23" s="10">
        <v>2</v>
      </c>
      <c r="I23" s="10" t="s">
        <v>118</v>
      </c>
      <c r="J23" s="10" t="s">
        <v>151</v>
      </c>
      <c r="K23" s="10" t="s">
        <v>42</v>
      </c>
      <c r="L23" s="10"/>
      <c r="M23" s="11"/>
    </row>
    <row r="24" spans="1:13" ht="27.6">
      <c r="A24" s="9" t="s">
        <v>173</v>
      </c>
      <c r="B24" s="10" t="s">
        <v>37</v>
      </c>
      <c r="C24" s="10" t="s">
        <v>174</v>
      </c>
      <c r="D24" s="10" t="s">
        <v>175</v>
      </c>
      <c r="E24" s="10" t="s">
        <v>176</v>
      </c>
      <c r="F24" s="10" t="s">
        <v>156</v>
      </c>
      <c r="G24" s="10" t="s">
        <v>74</v>
      </c>
      <c r="H24" s="10">
        <v>2</v>
      </c>
      <c r="I24" s="10" t="s">
        <v>118</v>
      </c>
      <c r="J24" s="10" t="s">
        <v>151</v>
      </c>
      <c r="K24" s="10" t="s">
        <v>42</v>
      </c>
      <c r="L24" s="10"/>
      <c r="M24" s="11"/>
    </row>
    <row r="25" spans="1:13" ht="27.6">
      <c r="A25" s="9" t="s">
        <v>177</v>
      </c>
      <c r="B25" s="10" t="s">
        <v>37</v>
      </c>
      <c r="C25" s="10" t="s">
        <v>178</v>
      </c>
      <c r="D25" s="10" t="s">
        <v>179</v>
      </c>
      <c r="E25" s="10" t="s">
        <v>180</v>
      </c>
      <c r="F25" s="10" t="s">
        <v>156</v>
      </c>
      <c r="G25" s="10" t="s">
        <v>106</v>
      </c>
      <c r="H25" s="10">
        <v>1</v>
      </c>
      <c r="I25" s="10" t="s">
        <v>118</v>
      </c>
      <c r="J25" s="10" t="s">
        <v>151</v>
      </c>
      <c r="K25" s="10" t="s">
        <v>42</v>
      </c>
      <c r="L25" s="10"/>
      <c r="M25" s="11"/>
    </row>
    <row r="26" spans="1:13" ht="27.6">
      <c r="A26" s="9" t="s">
        <v>181</v>
      </c>
      <c r="B26" s="10" t="s">
        <v>40</v>
      </c>
      <c r="C26" s="10" t="s">
        <v>182</v>
      </c>
      <c r="D26" s="10" t="s">
        <v>183</v>
      </c>
      <c r="E26" s="10" t="s">
        <v>184</v>
      </c>
      <c r="F26" s="10" t="s">
        <v>73</v>
      </c>
      <c r="G26" s="10" t="s">
        <v>74</v>
      </c>
      <c r="H26" s="10">
        <v>1</v>
      </c>
      <c r="I26" s="10" t="s">
        <v>118</v>
      </c>
      <c r="J26" s="10" t="s">
        <v>151</v>
      </c>
      <c r="K26" s="10" t="s">
        <v>42</v>
      </c>
      <c r="L26" s="10"/>
      <c r="M26" s="11"/>
    </row>
    <row r="27" spans="1:13" ht="27.6">
      <c r="A27" s="9" t="s">
        <v>185</v>
      </c>
      <c r="B27" s="10" t="s">
        <v>40</v>
      </c>
      <c r="C27" s="10" t="s">
        <v>186</v>
      </c>
      <c r="D27" s="10" t="s">
        <v>187</v>
      </c>
      <c r="E27" s="10" t="s">
        <v>188</v>
      </c>
      <c r="F27" s="10" t="s">
        <v>156</v>
      </c>
      <c r="G27" s="10" t="s">
        <v>74</v>
      </c>
      <c r="H27" s="10">
        <v>2</v>
      </c>
      <c r="I27" s="10" t="s">
        <v>118</v>
      </c>
      <c r="J27" s="10" t="s">
        <v>151</v>
      </c>
      <c r="K27" s="10" t="s">
        <v>42</v>
      </c>
      <c r="L27" s="10"/>
      <c r="M27" s="11"/>
    </row>
    <row r="28" spans="1:13">
      <c r="A28" s="9" t="s">
        <v>189</v>
      </c>
      <c r="B28" s="10" t="s">
        <v>40</v>
      </c>
      <c r="C28" s="10" t="s">
        <v>190</v>
      </c>
      <c r="D28" s="10" t="s">
        <v>191</v>
      </c>
      <c r="E28" s="10" t="s">
        <v>192</v>
      </c>
      <c r="F28" s="10" t="s">
        <v>156</v>
      </c>
      <c r="G28" s="10" t="s">
        <v>106</v>
      </c>
      <c r="H28" s="10">
        <v>2</v>
      </c>
      <c r="I28" s="10" t="s">
        <v>118</v>
      </c>
      <c r="J28" s="10" t="s">
        <v>151</v>
      </c>
      <c r="K28" s="10" t="s">
        <v>42</v>
      </c>
      <c r="L28" s="10"/>
      <c r="M28" s="11"/>
    </row>
    <row r="29" spans="1:13" ht="27.6">
      <c r="A29" s="9" t="s">
        <v>193</v>
      </c>
      <c r="B29" s="10" t="s">
        <v>40</v>
      </c>
      <c r="C29" s="10" t="s">
        <v>194</v>
      </c>
      <c r="D29" s="10" t="s">
        <v>195</v>
      </c>
      <c r="E29" s="10" t="s">
        <v>196</v>
      </c>
      <c r="F29" s="10" t="s">
        <v>156</v>
      </c>
      <c r="G29" s="10" t="s">
        <v>106</v>
      </c>
      <c r="H29" s="10">
        <v>2</v>
      </c>
      <c r="I29" s="10" t="s">
        <v>118</v>
      </c>
      <c r="J29" s="10" t="s">
        <v>197</v>
      </c>
      <c r="K29" s="10" t="s">
        <v>42</v>
      </c>
      <c r="L29" s="10"/>
      <c r="M29" s="11"/>
    </row>
    <row r="30" spans="1:13" ht="41.4">
      <c r="A30" s="9" t="s">
        <v>198</v>
      </c>
      <c r="B30" s="10" t="s">
        <v>40</v>
      </c>
      <c r="C30" s="10" t="s">
        <v>199</v>
      </c>
      <c r="D30" s="10" t="s">
        <v>200</v>
      </c>
      <c r="E30" s="10" t="s">
        <v>201</v>
      </c>
      <c r="F30" s="10" t="s">
        <v>156</v>
      </c>
      <c r="G30" s="10" t="s">
        <v>74</v>
      </c>
      <c r="H30" s="10">
        <v>3</v>
      </c>
      <c r="I30" s="10" t="s">
        <v>118</v>
      </c>
      <c r="J30" s="10" t="s">
        <v>151</v>
      </c>
      <c r="K30" s="10" t="s">
        <v>42</v>
      </c>
      <c r="L30" s="10"/>
      <c r="M30" s="11"/>
    </row>
    <row r="31" spans="1:13" ht="27.6">
      <c r="A31" s="9" t="s">
        <v>202</v>
      </c>
      <c r="B31" s="10" t="s">
        <v>40</v>
      </c>
      <c r="C31" s="10" t="s">
        <v>203</v>
      </c>
      <c r="D31" s="10" t="s">
        <v>204</v>
      </c>
      <c r="E31" s="10" t="s">
        <v>205</v>
      </c>
      <c r="F31" s="10" t="s">
        <v>156</v>
      </c>
      <c r="G31" s="10" t="s">
        <v>74</v>
      </c>
      <c r="H31" s="10">
        <v>2</v>
      </c>
      <c r="I31" s="10" t="s">
        <v>118</v>
      </c>
      <c r="J31" s="10" t="s">
        <v>151</v>
      </c>
      <c r="K31" s="10" t="s">
        <v>42</v>
      </c>
      <c r="L31" s="10"/>
      <c r="M31" s="11"/>
    </row>
    <row r="32" spans="1:13" ht="55.2">
      <c r="A32" s="9" t="s">
        <v>206</v>
      </c>
      <c r="B32" s="10" t="s">
        <v>43</v>
      </c>
      <c r="C32" s="10" t="s">
        <v>207</v>
      </c>
      <c r="D32" s="10" t="s">
        <v>208</v>
      </c>
      <c r="E32" s="10" t="s">
        <v>209</v>
      </c>
      <c r="F32" s="10" t="s">
        <v>156</v>
      </c>
      <c r="G32" s="10" t="s">
        <v>74</v>
      </c>
      <c r="H32" s="10">
        <v>5</v>
      </c>
      <c r="I32" s="10" t="s">
        <v>118</v>
      </c>
      <c r="J32" s="10" t="s">
        <v>197</v>
      </c>
      <c r="K32" s="10" t="s">
        <v>42</v>
      </c>
      <c r="L32" s="10"/>
      <c r="M32" s="11"/>
    </row>
    <row r="33" spans="1:13" ht="41.4">
      <c r="A33" s="9" t="s">
        <v>210</v>
      </c>
      <c r="B33" s="10" t="s">
        <v>43</v>
      </c>
      <c r="C33" s="10" t="s">
        <v>211</v>
      </c>
      <c r="D33" s="10" t="s">
        <v>212</v>
      </c>
      <c r="E33" s="10" t="s">
        <v>213</v>
      </c>
      <c r="F33" s="10" t="s">
        <v>156</v>
      </c>
      <c r="G33" s="10" t="s">
        <v>106</v>
      </c>
      <c r="H33" s="10">
        <v>3</v>
      </c>
      <c r="I33" s="10" t="s">
        <v>118</v>
      </c>
      <c r="J33" s="10" t="s">
        <v>197</v>
      </c>
      <c r="K33" s="10" t="s">
        <v>42</v>
      </c>
      <c r="L33" s="10"/>
      <c r="M33" s="11"/>
    </row>
    <row r="34" spans="1:13" ht="41.4">
      <c r="A34" s="9" t="s">
        <v>214</v>
      </c>
      <c r="B34" s="10" t="s">
        <v>43</v>
      </c>
      <c r="C34" s="10" t="s">
        <v>215</v>
      </c>
      <c r="D34" s="10" t="s">
        <v>216</v>
      </c>
      <c r="E34" s="10" t="s">
        <v>217</v>
      </c>
      <c r="F34" s="10" t="s">
        <v>156</v>
      </c>
      <c r="G34" s="10" t="s">
        <v>106</v>
      </c>
      <c r="H34" s="10">
        <v>3</v>
      </c>
      <c r="I34" s="10" t="s">
        <v>118</v>
      </c>
      <c r="J34" s="10" t="s">
        <v>197</v>
      </c>
      <c r="K34" s="10" t="s">
        <v>42</v>
      </c>
      <c r="L34" s="10"/>
      <c r="M34" s="11"/>
    </row>
    <row r="35" spans="1:13" ht="55.2">
      <c r="A35" s="9" t="s">
        <v>218</v>
      </c>
      <c r="B35" s="10" t="s">
        <v>43</v>
      </c>
      <c r="C35" s="10" t="s">
        <v>219</v>
      </c>
      <c r="D35" s="10" t="s">
        <v>220</v>
      </c>
      <c r="E35" s="10" t="s">
        <v>221</v>
      </c>
      <c r="F35" s="10" t="s">
        <v>73</v>
      </c>
      <c r="G35" s="10" t="s">
        <v>74</v>
      </c>
      <c r="H35" s="10">
        <v>3</v>
      </c>
      <c r="I35" s="10" t="s">
        <v>118</v>
      </c>
      <c r="J35" s="10" t="s">
        <v>197</v>
      </c>
      <c r="K35" s="10" t="s">
        <v>42</v>
      </c>
      <c r="L35" s="10"/>
      <c r="M35" s="11"/>
    </row>
    <row r="36" spans="1:13" ht="41.4">
      <c r="A36" s="9" t="s">
        <v>222</v>
      </c>
      <c r="B36" s="10" t="s">
        <v>43</v>
      </c>
      <c r="C36" s="10" t="s">
        <v>223</v>
      </c>
      <c r="D36" s="10" t="s">
        <v>224</v>
      </c>
      <c r="E36" s="10" t="s">
        <v>225</v>
      </c>
      <c r="F36" s="10" t="s">
        <v>73</v>
      </c>
      <c r="G36" s="10" t="s">
        <v>74</v>
      </c>
      <c r="H36" s="10">
        <v>1</v>
      </c>
      <c r="I36" s="10" t="s">
        <v>118</v>
      </c>
      <c r="J36" s="10" t="s">
        <v>197</v>
      </c>
      <c r="K36" s="10" t="s">
        <v>42</v>
      </c>
      <c r="L36" s="10"/>
      <c r="M36" s="11"/>
    </row>
    <row r="37" spans="1:13" ht="55.2">
      <c r="A37" s="9" t="s">
        <v>226</v>
      </c>
      <c r="B37" s="10" t="s">
        <v>43</v>
      </c>
      <c r="C37" s="10" t="s">
        <v>227</v>
      </c>
      <c r="D37" s="10" t="s">
        <v>228</v>
      </c>
      <c r="E37" s="10" t="s">
        <v>229</v>
      </c>
      <c r="F37" s="10" t="s">
        <v>73</v>
      </c>
      <c r="G37" s="10" t="s">
        <v>74</v>
      </c>
      <c r="H37" s="10">
        <v>4</v>
      </c>
      <c r="I37" s="10" t="s">
        <v>118</v>
      </c>
      <c r="J37" s="10" t="s">
        <v>197</v>
      </c>
      <c r="K37" s="10" t="s">
        <v>42</v>
      </c>
      <c r="L37" s="10"/>
      <c r="M37" s="11"/>
    </row>
    <row r="38" spans="1:13" ht="27.6">
      <c r="A38" s="9" t="s">
        <v>230</v>
      </c>
      <c r="B38" s="10" t="s">
        <v>43</v>
      </c>
      <c r="C38" s="10" t="s">
        <v>231</v>
      </c>
      <c r="D38" s="10" t="s">
        <v>232</v>
      </c>
      <c r="E38" s="10" t="s">
        <v>233</v>
      </c>
      <c r="F38" s="10" t="s">
        <v>156</v>
      </c>
      <c r="G38" s="10" t="s">
        <v>106</v>
      </c>
      <c r="H38" s="10">
        <v>2</v>
      </c>
      <c r="I38" s="10" t="s">
        <v>118</v>
      </c>
      <c r="J38" s="10" t="s">
        <v>234</v>
      </c>
      <c r="K38" s="10" t="s">
        <v>42</v>
      </c>
      <c r="L38" s="10"/>
      <c r="M38" s="11"/>
    </row>
    <row r="39" spans="1:13" ht="41.4">
      <c r="A39" s="9" t="s">
        <v>235</v>
      </c>
      <c r="B39" s="10" t="s">
        <v>43</v>
      </c>
      <c r="C39" s="10" t="s">
        <v>236</v>
      </c>
      <c r="D39" s="10" t="s">
        <v>237</v>
      </c>
      <c r="E39" s="10" t="s">
        <v>238</v>
      </c>
      <c r="F39" s="10" t="s">
        <v>156</v>
      </c>
      <c r="G39" s="10" t="s">
        <v>74</v>
      </c>
      <c r="H39" s="10">
        <v>3</v>
      </c>
      <c r="I39" s="10" t="s">
        <v>118</v>
      </c>
      <c r="J39" s="10" t="s">
        <v>234</v>
      </c>
      <c r="K39" s="10" t="s">
        <v>42</v>
      </c>
      <c r="L39" s="10"/>
      <c r="M39" s="11"/>
    </row>
    <row r="40" spans="1:13" ht="27.6">
      <c r="A40" s="9" t="s">
        <v>239</v>
      </c>
      <c r="B40" s="10" t="s">
        <v>43</v>
      </c>
      <c r="C40" s="10" t="s">
        <v>240</v>
      </c>
      <c r="D40" s="10" t="s">
        <v>241</v>
      </c>
      <c r="E40" s="10" t="s">
        <v>242</v>
      </c>
      <c r="F40" s="10" t="s">
        <v>156</v>
      </c>
      <c r="G40" s="10" t="s">
        <v>106</v>
      </c>
      <c r="H40" s="10">
        <v>2</v>
      </c>
      <c r="I40" s="10" t="s">
        <v>118</v>
      </c>
      <c r="J40" s="10" t="s">
        <v>234</v>
      </c>
      <c r="K40" s="10" t="s">
        <v>42</v>
      </c>
      <c r="L40" s="10"/>
      <c r="M40" s="11"/>
    </row>
    <row r="41" spans="1:13" ht="27.6">
      <c r="A41" s="9" t="s">
        <v>243</v>
      </c>
      <c r="B41" s="10" t="s">
        <v>43</v>
      </c>
      <c r="C41" s="10" t="s">
        <v>244</v>
      </c>
      <c r="D41" s="10" t="s">
        <v>245</v>
      </c>
      <c r="E41" s="10" t="s">
        <v>246</v>
      </c>
      <c r="F41" s="10" t="s">
        <v>73</v>
      </c>
      <c r="G41" s="10" t="s">
        <v>106</v>
      </c>
      <c r="H41" s="10">
        <v>2</v>
      </c>
      <c r="I41" s="10" t="s">
        <v>118</v>
      </c>
      <c r="J41" s="10" t="s">
        <v>234</v>
      </c>
      <c r="K41" s="10" t="s">
        <v>42</v>
      </c>
      <c r="L41" s="10"/>
      <c r="M41" s="11"/>
    </row>
    <row r="42" spans="1:13" ht="27.6">
      <c r="A42" s="9" t="s">
        <v>247</v>
      </c>
      <c r="B42" s="10" t="s">
        <v>43</v>
      </c>
      <c r="C42" s="10" t="s">
        <v>248</v>
      </c>
      <c r="D42" s="10" t="s">
        <v>249</v>
      </c>
      <c r="E42" s="10" t="s">
        <v>250</v>
      </c>
      <c r="F42" s="10" t="s">
        <v>73</v>
      </c>
      <c r="G42" s="10" t="s">
        <v>106</v>
      </c>
      <c r="H42" s="10">
        <v>2</v>
      </c>
      <c r="I42" s="10" t="s">
        <v>118</v>
      </c>
      <c r="J42" s="10" t="s">
        <v>234</v>
      </c>
      <c r="K42" s="10" t="s">
        <v>42</v>
      </c>
      <c r="L42" s="10"/>
      <c r="M42" s="11"/>
    </row>
    <row r="43" spans="1:13" ht="55.2">
      <c r="A43" s="9" t="s">
        <v>251</v>
      </c>
      <c r="B43" s="10" t="s">
        <v>43</v>
      </c>
      <c r="C43" s="10" t="s">
        <v>252</v>
      </c>
      <c r="D43" s="10" t="s">
        <v>253</v>
      </c>
      <c r="E43" s="10" t="s">
        <v>254</v>
      </c>
      <c r="F43" s="10" t="s">
        <v>156</v>
      </c>
      <c r="G43" s="10" t="s">
        <v>106</v>
      </c>
      <c r="H43" s="10">
        <v>3</v>
      </c>
      <c r="I43" s="10" t="s">
        <v>118</v>
      </c>
      <c r="J43" s="10" t="s">
        <v>234</v>
      </c>
      <c r="K43" s="10" t="s">
        <v>42</v>
      </c>
      <c r="L43" s="10"/>
      <c r="M43" s="11"/>
    </row>
    <row r="44" spans="1:13" ht="41.4">
      <c r="A44" s="9" t="s">
        <v>255</v>
      </c>
      <c r="B44" s="10" t="s">
        <v>46</v>
      </c>
      <c r="C44" s="10" t="s">
        <v>256</v>
      </c>
      <c r="D44" s="10" t="s">
        <v>257</v>
      </c>
      <c r="E44" s="10" t="s">
        <v>258</v>
      </c>
      <c r="F44" s="10" t="s">
        <v>73</v>
      </c>
      <c r="G44" s="10" t="s">
        <v>74</v>
      </c>
      <c r="H44" s="10">
        <v>3</v>
      </c>
      <c r="I44" s="10" t="s">
        <v>118</v>
      </c>
      <c r="J44" s="10" t="s">
        <v>234</v>
      </c>
      <c r="K44" s="10" t="s">
        <v>42</v>
      </c>
      <c r="L44" s="10"/>
      <c r="M44" s="11"/>
    </row>
    <row r="45" spans="1:13" ht="41.4">
      <c r="A45" s="9" t="s">
        <v>259</v>
      </c>
      <c r="B45" s="10" t="s">
        <v>46</v>
      </c>
      <c r="C45" s="10" t="s">
        <v>260</v>
      </c>
      <c r="D45" s="10" t="s">
        <v>261</v>
      </c>
      <c r="E45" s="10" t="s">
        <v>262</v>
      </c>
      <c r="F45" s="10" t="s">
        <v>73</v>
      </c>
      <c r="G45" s="10" t="s">
        <v>74</v>
      </c>
      <c r="H45" s="10">
        <v>2</v>
      </c>
      <c r="I45" s="10" t="s">
        <v>118</v>
      </c>
      <c r="J45" s="10" t="s">
        <v>234</v>
      </c>
      <c r="K45" s="10" t="s">
        <v>42</v>
      </c>
      <c r="L45" s="10"/>
      <c r="M45" s="11"/>
    </row>
    <row r="46" spans="1:13" ht="41.4">
      <c r="A46" s="9" t="s">
        <v>263</v>
      </c>
      <c r="B46" s="10" t="s">
        <v>46</v>
      </c>
      <c r="C46" s="10" t="s">
        <v>264</v>
      </c>
      <c r="D46" s="10" t="s">
        <v>265</v>
      </c>
      <c r="E46" s="10" t="s">
        <v>266</v>
      </c>
      <c r="F46" s="10" t="s">
        <v>73</v>
      </c>
      <c r="G46" s="10" t="s">
        <v>74</v>
      </c>
      <c r="H46" s="10">
        <v>4</v>
      </c>
      <c r="I46" s="10" t="s">
        <v>118</v>
      </c>
      <c r="J46" s="10" t="s">
        <v>234</v>
      </c>
      <c r="K46" s="10" t="s">
        <v>42</v>
      </c>
      <c r="L46" s="10"/>
      <c r="M46" s="11"/>
    </row>
    <row r="47" spans="1:13" ht="41.4">
      <c r="A47" s="9" t="s">
        <v>267</v>
      </c>
      <c r="B47" s="10" t="s">
        <v>48</v>
      </c>
      <c r="C47" s="10" t="s">
        <v>268</v>
      </c>
      <c r="D47" s="10" t="s">
        <v>269</v>
      </c>
      <c r="E47" s="10" t="s">
        <v>270</v>
      </c>
      <c r="F47" s="10" t="s">
        <v>156</v>
      </c>
      <c r="G47" s="10" t="s">
        <v>74</v>
      </c>
      <c r="H47" s="10">
        <v>3</v>
      </c>
      <c r="I47" s="10" t="s">
        <v>118</v>
      </c>
      <c r="J47" s="10" t="s">
        <v>234</v>
      </c>
      <c r="K47" s="10" t="s">
        <v>42</v>
      </c>
      <c r="L47" s="10"/>
      <c r="M47" s="11"/>
    </row>
    <row r="48" spans="1:13" ht="55.2">
      <c r="A48" s="9" t="s">
        <v>271</v>
      </c>
      <c r="B48" s="10" t="s">
        <v>48</v>
      </c>
      <c r="C48" s="10" t="s">
        <v>272</v>
      </c>
      <c r="D48" s="10" t="s">
        <v>273</v>
      </c>
      <c r="E48" s="10" t="s">
        <v>274</v>
      </c>
      <c r="F48" s="10" t="s">
        <v>73</v>
      </c>
      <c r="G48" s="10" t="s">
        <v>74</v>
      </c>
      <c r="H48" s="10">
        <v>2</v>
      </c>
      <c r="I48" s="10" t="s">
        <v>118</v>
      </c>
      <c r="J48" s="10" t="s">
        <v>234</v>
      </c>
      <c r="K48" s="10" t="s">
        <v>42</v>
      </c>
      <c r="L48" s="10"/>
      <c r="M48" s="11"/>
    </row>
    <row r="49" spans="1:13" ht="27.6">
      <c r="A49" s="9" t="s">
        <v>275</v>
      </c>
      <c r="B49" s="10" t="s">
        <v>48</v>
      </c>
      <c r="C49" s="10" t="s">
        <v>276</v>
      </c>
      <c r="D49" s="10" t="s">
        <v>277</v>
      </c>
      <c r="E49" s="10" t="s">
        <v>278</v>
      </c>
      <c r="F49" s="10" t="s">
        <v>73</v>
      </c>
      <c r="G49" s="10" t="s">
        <v>74</v>
      </c>
      <c r="H49" s="10">
        <v>1</v>
      </c>
      <c r="I49" s="10" t="s">
        <v>118</v>
      </c>
      <c r="J49" s="10" t="s">
        <v>234</v>
      </c>
      <c r="K49" s="10" t="s">
        <v>42</v>
      </c>
      <c r="L49" s="10"/>
      <c r="M49" s="11"/>
    </row>
    <row r="50" spans="1:13" ht="27.6">
      <c r="A50" s="9" t="s">
        <v>279</v>
      </c>
      <c r="B50" s="10" t="s">
        <v>48</v>
      </c>
      <c r="C50" s="10" t="s">
        <v>280</v>
      </c>
      <c r="D50" s="10" t="s">
        <v>281</v>
      </c>
      <c r="E50" s="10" t="s">
        <v>282</v>
      </c>
      <c r="F50" s="10" t="s">
        <v>73</v>
      </c>
      <c r="G50" s="10" t="s">
        <v>106</v>
      </c>
      <c r="H50" s="10">
        <v>1</v>
      </c>
      <c r="I50" s="10" t="s">
        <v>118</v>
      </c>
      <c r="J50" s="10" t="s">
        <v>283</v>
      </c>
      <c r="K50" s="10" t="s">
        <v>42</v>
      </c>
      <c r="L50" s="10"/>
      <c r="M50" s="11"/>
    </row>
    <row r="51" spans="1:13" ht="27.6">
      <c r="A51" s="9" t="s">
        <v>284</v>
      </c>
      <c r="B51" s="10" t="s">
        <v>48</v>
      </c>
      <c r="C51" s="10" t="s">
        <v>285</v>
      </c>
      <c r="D51" s="10" t="s">
        <v>286</v>
      </c>
      <c r="E51" s="10" t="s">
        <v>287</v>
      </c>
      <c r="F51" s="10" t="s">
        <v>73</v>
      </c>
      <c r="G51" s="10" t="s">
        <v>106</v>
      </c>
      <c r="H51" s="10">
        <v>1</v>
      </c>
      <c r="I51" s="10" t="s">
        <v>118</v>
      </c>
      <c r="J51" s="10" t="s">
        <v>283</v>
      </c>
      <c r="K51" s="10" t="s">
        <v>42</v>
      </c>
      <c r="L51" s="10"/>
      <c r="M51" s="11"/>
    </row>
    <row r="52" spans="1:13" ht="27.6">
      <c r="A52" s="9" t="s">
        <v>288</v>
      </c>
      <c r="B52" s="10" t="s">
        <v>48</v>
      </c>
      <c r="C52" s="10" t="s">
        <v>289</v>
      </c>
      <c r="D52" s="10" t="s">
        <v>290</v>
      </c>
      <c r="E52" s="10" t="s">
        <v>291</v>
      </c>
      <c r="F52" s="10" t="s">
        <v>73</v>
      </c>
      <c r="G52" s="10" t="s">
        <v>292</v>
      </c>
      <c r="H52" s="10">
        <v>1</v>
      </c>
      <c r="I52" s="10" t="s">
        <v>118</v>
      </c>
      <c r="J52" s="10" t="s">
        <v>283</v>
      </c>
      <c r="K52" s="10" t="s">
        <v>42</v>
      </c>
      <c r="L52" s="10"/>
      <c r="M52" s="11"/>
    </row>
    <row r="53" spans="1:13" ht="27.6">
      <c r="A53" s="9" t="s">
        <v>293</v>
      </c>
      <c r="B53" s="10" t="s">
        <v>48</v>
      </c>
      <c r="C53" s="10" t="s">
        <v>294</v>
      </c>
      <c r="D53" s="10" t="s">
        <v>295</v>
      </c>
      <c r="E53" s="10" t="s">
        <v>296</v>
      </c>
      <c r="F53" s="10" t="s">
        <v>73</v>
      </c>
      <c r="G53" s="10" t="s">
        <v>292</v>
      </c>
      <c r="H53" s="10">
        <v>1</v>
      </c>
      <c r="I53" s="10" t="s">
        <v>118</v>
      </c>
      <c r="J53" s="10" t="s">
        <v>283</v>
      </c>
      <c r="K53" s="10" t="s">
        <v>42</v>
      </c>
      <c r="L53" s="10"/>
      <c r="M53" s="11"/>
    </row>
    <row r="54" spans="1:13" ht="41.4">
      <c r="A54" s="9" t="s">
        <v>297</v>
      </c>
      <c r="B54" s="10" t="s">
        <v>49</v>
      </c>
      <c r="C54" s="10" t="s">
        <v>298</v>
      </c>
      <c r="D54" s="10" t="s">
        <v>299</v>
      </c>
      <c r="E54" s="10" t="s">
        <v>300</v>
      </c>
      <c r="F54" s="10" t="s">
        <v>117</v>
      </c>
      <c r="G54" s="10" t="s">
        <v>74</v>
      </c>
      <c r="H54" s="10">
        <v>1</v>
      </c>
      <c r="I54" s="10" t="s">
        <v>118</v>
      </c>
      <c r="J54" s="10" t="s">
        <v>283</v>
      </c>
      <c r="K54" s="10" t="s">
        <v>42</v>
      </c>
      <c r="L54" s="10"/>
      <c r="M54" s="11"/>
    </row>
    <row r="55" spans="1:13" ht="55.2">
      <c r="A55" s="9" t="s">
        <v>301</v>
      </c>
      <c r="B55" s="10" t="s">
        <v>49</v>
      </c>
      <c r="C55" s="10" t="s">
        <v>302</v>
      </c>
      <c r="D55" s="10" t="s">
        <v>303</v>
      </c>
      <c r="E55" s="10" t="s">
        <v>304</v>
      </c>
      <c r="F55" s="10" t="s">
        <v>156</v>
      </c>
      <c r="G55" s="10" t="s">
        <v>74</v>
      </c>
      <c r="H55" s="10">
        <v>3</v>
      </c>
      <c r="I55" s="10" t="s">
        <v>118</v>
      </c>
      <c r="J55" s="10" t="s">
        <v>283</v>
      </c>
      <c r="K55" s="10" t="s">
        <v>42</v>
      </c>
      <c r="L55" s="10"/>
      <c r="M55" s="11"/>
    </row>
    <row r="56" spans="1:13" ht="27.6">
      <c r="A56" s="9" t="s">
        <v>305</v>
      </c>
      <c r="B56" s="10" t="s">
        <v>49</v>
      </c>
      <c r="C56" s="10" t="s">
        <v>306</v>
      </c>
      <c r="D56" s="10" t="s">
        <v>307</v>
      </c>
      <c r="E56" s="10" t="s">
        <v>308</v>
      </c>
      <c r="F56" s="10" t="s">
        <v>156</v>
      </c>
      <c r="G56" s="10" t="s">
        <v>106</v>
      </c>
      <c r="H56" s="10">
        <v>1</v>
      </c>
      <c r="I56" s="10" t="s">
        <v>118</v>
      </c>
      <c r="J56" s="10" t="s">
        <v>283</v>
      </c>
      <c r="K56" s="10" t="s">
        <v>42</v>
      </c>
      <c r="L56" s="10"/>
      <c r="M56" s="11"/>
    </row>
    <row r="57" spans="1:13" ht="55.2">
      <c r="A57" s="9" t="s">
        <v>309</v>
      </c>
      <c r="B57" s="10" t="s">
        <v>310</v>
      </c>
      <c r="C57" s="10" t="s">
        <v>311</v>
      </c>
      <c r="D57" s="10" t="s">
        <v>312</v>
      </c>
      <c r="E57" s="10" t="s">
        <v>313</v>
      </c>
      <c r="F57" s="10" t="s">
        <v>156</v>
      </c>
      <c r="G57" s="10" t="s">
        <v>74</v>
      </c>
      <c r="H57" s="10">
        <v>2</v>
      </c>
      <c r="I57" s="10" t="s">
        <v>118</v>
      </c>
      <c r="J57" s="10" t="s">
        <v>283</v>
      </c>
      <c r="K57" s="10" t="s">
        <v>42</v>
      </c>
      <c r="L57" s="10"/>
      <c r="M57" s="11"/>
    </row>
    <row r="58" spans="1:13" ht="41.4">
      <c r="A58" s="9" t="s">
        <v>314</v>
      </c>
      <c r="B58" s="10" t="s">
        <v>310</v>
      </c>
      <c r="C58" s="10" t="s">
        <v>315</v>
      </c>
      <c r="D58" s="10" t="s">
        <v>316</v>
      </c>
      <c r="E58" s="10" t="s">
        <v>317</v>
      </c>
      <c r="F58" s="10" t="s">
        <v>156</v>
      </c>
      <c r="G58" s="10" t="s">
        <v>74</v>
      </c>
      <c r="H58" s="10">
        <v>2</v>
      </c>
      <c r="I58" s="10" t="s">
        <v>118</v>
      </c>
      <c r="J58" s="10" t="s">
        <v>283</v>
      </c>
      <c r="K58" s="10" t="s">
        <v>42</v>
      </c>
      <c r="L58" s="10"/>
      <c r="M58" s="11"/>
    </row>
    <row r="59" spans="1:13" ht="27.6">
      <c r="A59" s="9" t="s">
        <v>318</v>
      </c>
      <c r="B59" s="10" t="s">
        <v>310</v>
      </c>
      <c r="C59" s="10" t="s">
        <v>319</v>
      </c>
      <c r="D59" s="10" t="s">
        <v>320</v>
      </c>
      <c r="E59" s="10" t="s">
        <v>321</v>
      </c>
      <c r="F59" s="10" t="s">
        <v>156</v>
      </c>
      <c r="G59" s="10" t="s">
        <v>106</v>
      </c>
      <c r="H59" s="10">
        <v>2</v>
      </c>
      <c r="I59" s="10" t="s">
        <v>118</v>
      </c>
      <c r="J59" s="10" t="s">
        <v>322</v>
      </c>
      <c r="K59" s="10" t="s">
        <v>42</v>
      </c>
      <c r="L59" s="10"/>
      <c r="M59" s="11"/>
    </row>
    <row r="60" spans="1:13" ht="27.6">
      <c r="A60" s="9" t="s">
        <v>323</v>
      </c>
      <c r="B60" s="10" t="s">
        <v>310</v>
      </c>
      <c r="C60" s="10" t="s">
        <v>324</v>
      </c>
      <c r="D60" s="10" t="s">
        <v>325</v>
      </c>
      <c r="E60" s="10" t="s">
        <v>326</v>
      </c>
      <c r="F60" s="10" t="s">
        <v>156</v>
      </c>
      <c r="G60" s="10" t="s">
        <v>106</v>
      </c>
      <c r="H60" s="10">
        <v>1</v>
      </c>
      <c r="I60" s="10" t="s">
        <v>118</v>
      </c>
      <c r="J60" s="10" t="s">
        <v>322</v>
      </c>
      <c r="K60" s="10" t="s">
        <v>42</v>
      </c>
      <c r="L60" s="10"/>
      <c r="M60" s="11"/>
    </row>
    <row r="61" spans="1:13" ht="27.6">
      <c r="A61" s="9" t="s">
        <v>327</v>
      </c>
      <c r="B61" s="10" t="s">
        <v>310</v>
      </c>
      <c r="C61" s="10" t="s">
        <v>328</v>
      </c>
      <c r="D61" s="10" t="s">
        <v>329</v>
      </c>
      <c r="E61" s="10" t="s">
        <v>330</v>
      </c>
      <c r="F61" s="10" t="s">
        <v>156</v>
      </c>
      <c r="G61" s="10" t="s">
        <v>106</v>
      </c>
      <c r="H61" s="10">
        <v>2</v>
      </c>
      <c r="I61" s="10" t="s">
        <v>118</v>
      </c>
      <c r="J61" s="10" t="s">
        <v>322</v>
      </c>
      <c r="K61" s="10" t="s">
        <v>42</v>
      </c>
      <c r="L61" s="10"/>
      <c r="M61" s="11"/>
    </row>
    <row r="62" spans="1:13" ht="41.4">
      <c r="A62" s="9" t="s">
        <v>331</v>
      </c>
      <c r="B62" s="10" t="s">
        <v>310</v>
      </c>
      <c r="C62" s="10" t="s">
        <v>332</v>
      </c>
      <c r="D62" s="10" t="s">
        <v>333</v>
      </c>
      <c r="E62" s="10" t="s">
        <v>334</v>
      </c>
      <c r="F62" s="10" t="s">
        <v>156</v>
      </c>
      <c r="G62" s="10" t="s">
        <v>106</v>
      </c>
      <c r="H62" s="10">
        <v>2</v>
      </c>
      <c r="I62" s="10" t="s">
        <v>118</v>
      </c>
      <c r="J62" s="10" t="s">
        <v>322</v>
      </c>
      <c r="K62" s="10" t="s">
        <v>42</v>
      </c>
      <c r="L62" s="10"/>
      <c r="M62" s="11"/>
    </row>
    <row r="63" spans="1:13" ht="27.6">
      <c r="A63" s="9" t="s">
        <v>335</v>
      </c>
      <c r="B63" s="10" t="s">
        <v>53</v>
      </c>
      <c r="C63" s="10" t="s">
        <v>336</v>
      </c>
      <c r="D63" s="10" t="s">
        <v>337</v>
      </c>
      <c r="E63" s="10" t="s">
        <v>338</v>
      </c>
      <c r="F63" s="10" t="s">
        <v>117</v>
      </c>
      <c r="G63" s="10" t="s">
        <v>74</v>
      </c>
      <c r="H63" s="10">
        <v>2</v>
      </c>
      <c r="I63" s="10" t="s">
        <v>75</v>
      </c>
      <c r="J63" s="10" t="s">
        <v>107</v>
      </c>
      <c r="K63" s="10" t="s">
        <v>42</v>
      </c>
      <c r="L63" s="10"/>
      <c r="M63" s="11"/>
    </row>
    <row r="64" spans="1:13" ht="27.6">
      <c r="A64" s="9" t="s">
        <v>339</v>
      </c>
      <c r="B64" s="10" t="s">
        <v>53</v>
      </c>
      <c r="C64" s="10" t="s">
        <v>340</v>
      </c>
      <c r="D64" s="10" t="s">
        <v>341</v>
      </c>
      <c r="E64" s="10" t="s">
        <v>342</v>
      </c>
      <c r="F64" s="10" t="s">
        <v>156</v>
      </c>
      <c r="G64" s="10" t="s">
        <v>106</v>
      </c>
      <c r="H64" s="10">
        <v>2</v>
      </c>
      <c r="I64" s="10" t="s">
        <v>75</v>
      </c>
      <c r="J64" s="10" t="s">
        <v>322</v>
      </c>
      <c r="K64" s="10" t="s">
        <v>42</v>
      </c>
      <c r="L64" s="10"/>
      <c r="M64" s="11"/>
    </row>
    <row r="65" spans="1:13" ht="41.4">
      <c r="A65" s="9" t="s">
        <v>343</v>
      </c>
      <c r="B65" s="10" t="s">
        <v>54</v>
      </c>
      <c r="C65" s="10" t="s">
        <v>344</v>
      </c>
      <c r="D65" s="10" t="s">
        <v>345</v>
      </c>
      <c r="E65" s="10" t="s">
        <v>346</v>
      </c>
      <c r="F65" s="10" t="s">
        <v>73</v>
      </c>
      <c r="G65" s="10" t="s">
        <v>74</v>
      </c>
      <c r="H65" s="10">
        <v>4</v>
      </c>
      <c r="I65" s="10" t="s">
        <v>75</v>
      </c>
      <c r="J65" s="10" t="s">
        <v>107</v>
      </c>
      <c r="K65" s="10" t="s">
        <v>42</v>
      </c>
      <c r="L65" s="10"/>
      <c r="M65" s="11"/>
    </row>
    <row r="66" spans="1:13" ht="55.2">
      <c r="A66" s="9" t="s">
        <v>347</v>
      </c>
      <c r="B66" s="10" t="s">
        <v>54</v>
      </c>
      <c r="C66" s="10" t="s">
        <v>348</v>
      </c>
      <c r="D66" s="10" t="s">
        <v>349</v>
      </c>
      <c r="E66" s="10" t="s">
        <v>350</v>
      </c>
      <c r="F66" s="10" t="s">
        <v>73</v>
      </c>
      <c r="G66" s="10" t="s">
        <v>74</v>
      </c>
      <c r="H66" s="10">
        <v>4</v>
      </c>
      <c r="I66" s="10" t="s">
        <v>75</v>
      </c>
      <c r="J66" s="10" t="s">
        <v>107</v>
      </c>
      <c r="K66" s="10" t="s">
        <v>42</v>
      </c>
      <c r="L66" s="10"/>
      <c r="M66" s="11"/>
    </row>
    <row r="67" spans="1:13" ht="41.4">
      <c r="A67" s="9" t="s">
        <v>351</v>
      </c>
      <c r="B67" s="10" t="s">
        <v>54</v>
      </c>
      <c r="C67" s="10" t="s">
        <v>352</v>
      </c>
      <c r="D67" s="10" t="s">
        <v>353</v>
      </c>
      <c r="E67" s="10" t="s">
        <v>354</v>
      </c>
      <c r="F67" s="10" t="s">
        <v>73</v>
      </c>
      <c r="G67" s="10" t="s">
        <v>74</v>
      </c>
      <c r="H67" s="10">
        <v>2</v>
      </c>
      <c r="I67" s="10" t="s">
        <v>75</v>
      </c>
      <c r="J67" s="10" t="s">
        <v>107</v>
      </c>
      <c r="K67" s="10" t="s">
        <v>42</v>
      </c>
      <c r="L67" s="10"/>
      <c r="M67" s="11"/>
    </row>
    <row r="68" spans="1:13" ht="41.4">
      <c r="A68" s="9" t="s">
        <v>355</v>
      </c>
      <c r="B68" s="10" t="s">
        <v>55</v>
      </c>
      <c r="C68" s="10" t="s">
        <v>356</v>
      </c>
      <c r="D68" s="10" t="s">
        <v>357</v>
      </c>
      <c r="E68" s="10" t="s">
        <v>358</v>
      </c>
      <c r="F68" s="10" t="s">
        <v>73</v>
      </c>
      <c r="G68" s="10" t="s">
        <v>74</v>
      </c>
      <c r="H68" s="10">
        <v>3</v>
      </c>
      <c r="I68" s="10" t="s">
        <v>75</v>
      </c>
      <c r="J68" s="10" t="s">
        <v>107</v>
      </c>
      <c r="K68" s="10" t="s">
        <v>42</v>
      </c>
      <c r="L68" s="10"/>
      <c r="M68" s="11"/>
    </row>
    <row r="69" spans="1:13" ht="27.6">
      <c r="A69" s="9" t="s">
        <v>359</v>
      </c>
      <c r="B69" s="10" t="s">
        <v>55</v>
      </c>
      <c r="C69" s="10" t="s">
        <v>360</v>
      </c>
      <c r="D69" s="10" t="s">
        <v>361</v>
      </c>
      <c r="E69" s="10" t="s">
        <v>362</v>
      </c>
      <c r="F69" s="10" t="s">
        <v>73</v>
      </c>
      <c r="G69" s="10" t="s">
        <v>74</v>
      </c>
      <c r="H69" s="10">
        <v>2</v>
      </c>
      <c r="I69" s="10" t="s">
        <v>75</v>
      </c>
      <c r="J69" s="10" t="s">
        <v>107</v>
      </c>
      <c r="K69" s="10" t="s">
        <v>42</v>
      </c>
      <c r="L69" s="10"/>
      <c r="M69" s="11"/>
    </row>
    <row r="70" spans="1:13" ht="27.6">
      <c r="A70" s="9" t="s">
        <v>363</v>
      </c>
      <c r="B70" s="10" t="s">
        <v>55</v>
      </c>
      <c r="C70" s="10" t="s">
        <v>364</v>
      </c>
      <c r="D70" s="10" t="s">
        <v>365</v>
      </c>
      <c r="E70" s="10" t="s">
        <v>366</v>
      </c>
      <c r="F70" s="10" t="s">
        <v>73</v>
      </c>
      <c r="G70" s="10" t="s">
        <v>74</v>
      </c>
      <c r="H70" s="10">
        <v>3</v>
      </c>
      <c r="I70" s="10" t="s">
        <v>75</v>
      </c>
      <c r="J70" s="10" t="s">
        <v>151</v>
      </c>
      <c r="K70" s="10" t="s">
        <v>42</v>
      </c>
      <c r="L70" s="10"/>
      <c r="M70" s="11"/>
    </row>
    <row r="71" spans="1:13" ht="41.4">
      <c r="A71" s="9" t="s">
        <v>367</v>
      </c>
      <c r="B71" s="10" t="s">
        <v>55</v>
      </c>
      <c r="C71" s="10" t="s">
        <v>368</v>
      </c>
      <c r="D71" s="10" t="s">
        <v>369</v>
      </c>
      <c r="E71" s="10" t="s">
        <v>370</v>
      </c>
      <c r="F71" s="10" t="s">
        <v>73</v>
      </c>
      <c r="G71" s="10" t="s">
        <v>74</v>
      </c>
      <c r="H71" s="10">
        <v>3</v>
      </c>
      <c r="I71" s="10" t="s">
        <v>75</v>
      </c>
      <c r="J71" s="10" t="s">
        <v>151</v>
      </c>
      <c r="K71" s="10" t="s">
        <v>42</v>
      </c>
      <c r="L71" s="10"/>
      <c r="M71" s="11"/>
    </row>
    <row r="72" spans="1:13" ht="41.4">
      <c r="A72" s="9" t="s">
        <v>371</v>
      </c>
      <c r="B72" s="10" t="s">
        <v>55</v>
      </c>
      <c r="C72" s="10" t="s">
        <v>372</v>
      </c>
      <c r="D72" s="10" t="s">
        <v>373</v>
      </c>
      <c r="E72" s="10" t="s">
        <v>374</v>
      </c>
      <c r="F72" s="10" t="s">
        <v>73</v>
      </c>
      <c r="G72" s="10" t="s">
        <v>74</v>
      </c>
      <c r="H72" s="10">
        <v>2</v>
      </c>
      <c r="I72" s="10" t="s">
        <v>75</v>
      </c>
      <c r="J72" s="10" t="s">
        <v>107</v>
      </c>
      <c r="K72" s="10" t="s">
        <v>42</v>
      </c>
      <c r="L72" s="10"/>
      <c r="M72" s="11"/>
    </row>
    <row r="73" spans="1:13" ht="41.4">
      <c r="A73" s="9" t="s">
        <v>375</v>
      </c>
      <c r="B73" s="10" t="s">
        <v>55</v>
      </c>
      <c r="C73" s="10" t="s">
        <v>376</v>
      </c>
      <c r="D73" s="10" t="s">
        <v>377</v>
      </c>
      <c r="E73" s="10" t="s">
        <v>378</v>
      </c>
      <c r="F73" s="10" t="s">
        <v>73</v>
      </c>
      <c r="G73" s="10" t="s">
        <v>74</v>
      </c>
      <c r="H73" s="10">
        <v>2</v>
      </c>
      <c r="I73" s="10" t="s">
        <v>75</v>
      </c>
      <c r="J73" s="10" t="s">
        <v>151</v>
      </c>
      <c r="K73" s="10" t="s">
        <v>42</v>
      </c>
      <c r="L73" s="10"/>
      <c r="M73" s="11"/>
    </row>
    <row r="74" spans="1:13" ht="69">
      <c r="A74" s="9" t="s">
        <v>379</v>
      </c>
      <c r="B74" s="10" t="s">
        <v>56</v>
      </c>
      <c r="C74" s="10" t="s">
        <v>380</v>
      </c>
      <c r="D74" s="10" t="s">
        <v>381</v>
      </c>
      <c r="E74" s="10" t="s">
        <v>382</v>
      </c>
      <c r="F74" s="10" t="s">
        <v>73</v>
      </c>
      <c r="G74" s="10" t="s">
        <v>74</v>
      </c>
      <c r="H74" s="10">
        <v>4</v>
      </c>
      <c r="I74" s="10" t="s">
        <v>75</v>
      </c>
      <c r="J74" s="10" t="s">
        <v>151</v>
      </c>
      <c r="K74" s="10" t="s">
        <v>42</v>
      </c>
      <c r="L74" s="10"/>
      <c r="M74" s="11"/>
    </row>
    <row r="75" spans="1:13" ht="55.2">
      <c r="A75" s="9" t="s">
        <v>383</v>
      </c>
      <c r="B75" s="10" t="s">
        <v>56</v>
      </c>
      <c r="C75" s="10" t="s">
        <v>384</v>
      </c>
      <c r="D75" s="10" t="s">
        <v>385</v>
      </c>
      <c r="E75" s="10" t="s">
        <v>386</v>
      </c>
      <c r="F75" s="10" t="s">
        <v>73</v>
      </c>
      <c r="G75" s="10" t="s">
        <v>74</v>
      </c>
      <c r="H75" s="10">
        <v>4</v>
      </c>
      <c r="I75" s="10" t="s">
        <v>75</v>
      </c>
      <c r="J75" s="10" t="s">
        <v>197</v>
      </c>
      <c r="K75" s="10" t="s">
        <v>42</v>
      </c>
      <c r="L75" s="10"/>
      <c r="M75" s="11"/>
    </row>
    <row r="76" spans="1:13" ht="27.6">
      <c r="A76" s="9" t="s">
        <v>387</v>
      </c>
      <c r="B76" s="10" t="s">
        <v>56</v>
      </c>
      <c r="C76" s="10" t="s">
        <v>388</v>
      </c>
      <c r="D76" s="10" t="s">
        <v>389</v>
      </c>
      <c r="E76" s="10" t="s">
        <v>390</v>
      </c>
      <c r="F76" s="10" t="s">
        <v>73</v>
      </c>
      <c r="G76" s="10" t="s">
        <v>74</v>
      </c>
      <c r="H76" s="10">
        <v>2</v>
      </c>
      <c r="I76" s="10" t="s">
        <v>75</v>
      </c>
      <c r="J76" s="10" t="s">
        <v>107</v>
      </c>
      <c r="K76" s="10" t="s">
        <v>42</v>
      </c>
      <c r="L76" s="10"/>
      <c r="M76" s="11"/>
    </row>
    <row r="77" spans="1:13" ht="27.6">
      <c r="A77" s="9" t="s">
        <v>391</v>
      </c>
      <c r="B77" s="10" t="s">
        <v>56</v>
      </c>
      <c r="C77" s="10" t="s">
        <v>392</v>
      </c>
      <c r="D77" s="10" t="s">
        <v>393</v>
      </c>
      <c r="E77" s="10" t="s">
        <v>394</v>
      </c>
      <c r="F77" s="10" t="s">
        <v>73</v>
      </c>
      <c r="G77" s="10" t="s">
        <v>74</v>
      </c>
      <c r="H77" s="10">
        <v>3</v>
      </c>
      <c r="I77" s="10" t="s">
        <v>118</v>
      </c>
      <c r="J77" s="10" t="s">
        <v>107</v>
      </c>
      <c r="K77" s="10" t="s">
        <v>42</v>
      </c>
      <c r="L77" s="10"/>
      <c r="M77" s="11"/>
    </row>
    <row r="78" spans="1:13" ht="41.4">
      <c r="A78" s="9" t="s">
        <v>395</v>
      </c>
      <c r="B78" s="10" t="s">
        <v>56</v>
      </c>
      <c r="C78" s="10" t="s">
        <v>396</v>
      </c>
      <c r="D78" s="10" t="s">
        <v>397</v>
      </c>
      <c r="E78" s="10" t="s">
        <v>398</v>
      </c>
      <c r="F78" s="10" t="s">
        <v>73</v>
      </c>
      <c r="G78" s="10" t="s">
        <v>74</v>
      </c>
      <c r="H78" s="10">
        <v>3</v>
      </c>
      <c r="I78" s="10" t="s">
        <v>75</v>
      </c>
      <c r="J78" s="10" t="s">
        <v>151</v>
      </c>
      <c r="K78" s="10" t="s">
        <v>42</v>
      </c>
      <c r="L78" s="10"/>
      <c r="M78" s="11"/>
    </row>
    <row r="79" spans="1:13" ht="55.2">
      <c r="A79" s="9" t="s">
        <v>399</v>
      </c>
      <c r="B79" s="10" t="s">
        <v>56</v>
      </c>
      <c r="C79" s="10" t="s">
        <v>400</v>
      </c>
      <c r="D79" s="10" t="s">
        <v>401</v>
      </c>
      <c r="E79" s="10" t="s">
        <v>402</v>
      </c>
      <c r="F79" s="10" t="s">
        <v>73</v>
      </c>
      <c r="G79" s="10" t="s">
        <v>74</v>
      </c>
      <c r="H79" s="10">
        <v>5</v>
      </c>
      <c r="I79" s="10" t="s">
        <v>75</v>
      </c>
      <c r="J79" s="10" t="s">
        <v>197</v>
      </c>
      <c r="K79" s="10" t="s">
        <v>42</v>
      </c>
      <c r="L79" s="10"/>
      <c r="M79" s="11"/>
    </row>
    <row r="80" spans="1:13" ht="41.4">
      <c r="A80" s="9" t="s">
        <v>403</v>
      </c>
      <c r="B80" s="10" t="s">
        <v>56</v>
      </c>
      <c r="C80" s="10" t="s">
        <v>404</v>
      </c>
      <c r="D80" s="10" t="s">
        <v>405</v>
      </c>
      <c r="E80" s="10" t="s">
        <v>406</v>
      </c>
      <c r="F80" s="10" t="s">
        <v>73</v>
      </c>
      <c r="G80" s="10" t="s">
        <v>74</v>
      </c>
      <c r="H80" s="10">
        <v>3</v>
      </c>
      <c r="I80" s="10" t="s">
        <v>118</v>
      </c>
      <c r="J80" s="10" t="s">
        <v>234</v>
      </c>
      <c r="K80" s="10" t="s">
        <v>42</v>
      </c>
      <c r="L80" s="10"/>
      <c r="M80" s="11"/>
    </row>
    <row r="81" spans="1:13" ht="41.4">
      <c r="A81" s="12" t="s">
        <v>407</v>
      </c>
      <c r="B81" s="13" t="s">
        <v>56</v>
      </c>
      <c r="C81" s="13" t="s">
        <v>408</v>
      </c>
      <c r="D81" s="13" t="s">
        <v>409</v>
      </c>
      <c r="E81" s="13" t="s">
        <v>410</v>
      </c>
      <c r="F81" s="13" t="s">
        <v>73</v>
      </c>
      <c r="G81" s="13" t="s">
        <v>74</v>
      </c>
      <c r="H81" s="13">
        <v>2</v>
      </c>
      <c r="I81" s="13" t="s">
        <v>75</v>
      </c>
      <c r="J81" s="13" t="s">
        <v>151</v>
      </c>
      <c r="K81" s="13" t="s">
        <v>42</v>
      </c>
      <c r="L81" s="13"/>
      <c r="M81" s="14"/>
    </row>
  </sheetData>
  <conditionalFormatting sqref="L2:L81">
    <cfRule type="expression" dxfId="8" priority="1">
      <formula>L2="Done"</formula>
    </cfRule>
    <cfRule type="expression" dxfId="7" priority="2">
      <formula>L2="Needs Rework"</formula>
    </cfRule>
    <cfRule type="expression" dxfId="6" priority="3">
      <formula>L2="Blocked"</formula>
    </cfRule>
    <cfRule type="expression" dxfId="5" priority="4">
      <formula>L2="Scope Review"</formula>
    </cfRule>
  </conditionalFormatting>
  <dataValidations count="2">
    <dataValidation type="list" sqref="G2:G81" xr:uid="{00000000-0002-0000-0100-000000000000}">
      <formula1>"P1,P2,P3"</formula1>
    </dataValidation>
    <dataValidation type="list" sqref="L2:L81" xr:uid="{00000000-0002-0000-0100-000001000000}">
      <formula1>"Todo,In Progress,Done,Partially Done,Needs Rework,Blocked,Scope Review,Deferred (V1.1)"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/>
  </sheetViews>
  <sheetFormatPr defaultRowHeight="13.8"/>
  <cols>
    <col min="1" max="1" width="15" customWidth="1"/>
    <col min="2" max="2" width="18" customWidth="1"/>
    <col min="3" max="3" width="34" customWidth="1"/>
    <col min="4" max="4" width="58" customWidth="1"/>
    <col min="5" max="5" width="56" customWidth="1"/>
    <col min="6" max="6" width="10" customWidth="1"/>
    <col min="7" max="7" width="32" customWidth="1"/>
    <col min="8" max="8" width="18" customWidth="1"/>
    <col min="9" max="9" width="48" customWidth="1"/>
  </cols>
  <sheetData>
    <row r="1" spans="1:9">
      <c r="A1" s="5" t="s">
        <v>58</v>
      </c>
      <c r="B1" s="5" t="s">
        <v>411</v>
      </c>
      <c r="C1" s="5" t="s">
        <v>412</v>
      </c>
      <c r="D1" s="5" t="s">
        <v>413</v>
      </c>
      <c r="E1" s="5" t="s">
        <v>62</v>
      </c>
      <c r="F1" s="5" t="s">
        <v>64</v>
      </c>
      <c r="G1" s="5" t="s">
        <v>414</v>
      </c>
      <c r="H1" s="5" t="s">
        <v>415</v>
      </c>
      <c r="I1" s="5" t="s">
        <v>416</v>
      </c>
    </row>
    <row r="2" spans="1:9" ht="27.6">
      <c r="A2" s="6" t="s">
        <v>417</v>
      </c>
      <c r="B2" s="7" t="s">
        <v>418</v>
      </c>
      <c r="C2" s="7" t="s">
        <v>419</v>
      </c>
      <c r="D2" s="7" t="s">
        <v>420</v>
      </c>
      <c r="E2" s="7" t="s">
        <v>421</v>
      </c>
      <c r="F2" s="7" t="s">
        <v>74</v>
      </c>
      <c r="G2" s="7" t="s">
        <v>422</v>
      </c>
      <c r="H2" s="7" t="s">
        <v>42</v>
      </c>
      <c r="I2" s="8" t="s">
        <v>423</v>
      </c>
    </row>
    <row r="3" spans="1:9" ht="41.4">
      <c r="A3" s="9" t="s">
        <v>424</v>
      </c>
      <c r="B3" s="10" t="s">
        <v>418</v>
      </c>
      <c r="C3" s="10" t="s">
        <v>425</v>
      </c>
      <c r="D3" s="10" t="s">
        <v>426</v>
      </c>
      <c r="E3" s="10" t="s">
        <v>427</v>
      </c>
      <c r="F3" s="10" t="s">
        <v>74</v>
      </c>
      <c r="G3" s="10" t="s">
        <v>428</v>
      </c>
      <c r="H3" s="10" t="s">
        <v>42</v>
      </c>
      <c r="I3" s="11" t="s">
        <v>423</v>
      </c>
    </row>
    <row r="4" spans="1:9" ht="41.4">
      <c r="A4" s="9" t="s">
        <v>429</v>
      </c>
      <c r="B4" s="10" t="s">
        <v>418</v>
      </c>
      <c r="C4" s="10" t="s">
        <v>430</v>
      </c>
      <c r="D4" s="10" t="s">
        <v>431</v>
      </c>
      <c r="E4" s="10" t="s">
        <v>432</v>
      </c>
      <c r="F4" s="10" t="s">
        <v>74</v>
      </c>
      <c r="G4" s="10" t="s">
        <v>433</v>
      </c>
      <c r="H4" s="10" t="s">
        <v>42</v>
      </c>
      <c r="I4" s="11" t="s">
        <v>423</v>
      </c>
    </row>
    <row r="5" spans="1:9" ht="27.6">
      <c r="A5" s="9" t="s">
        <v>434</v>
      </c>
      <c r="B5" s="10" t="s">
        <v>435</v>
      </c>
      <c r="C5" s="10" t="s">
        <v>436</v>
      </c>
      <c r="D5" s="10" t="s">
        <v>437</v>
      </c>
      <c r="E5" s="10" t="s">
        <v>438</v>
      </c>
      <c r="F5" s="10" t="s">
        <v>74</v>
      </c>
      <c r="G5" s="10" t="s">
        <v>439</v>
      </c>
      <c r="H5" s="10" t="s">
        <v>45</v>
      </c>
      <c r="I5" s="11" t="s">
        <v>440</v>
      </c>
    </row>
    <row r="6" spans="1:9" ht="27.6">
      <c r="A6" s="9" t="s">
        <v>441</v>
      </c>
      <c r="B6" s="10" t="s">
        <v>442</v>
      </c>
      <c r="C6" s="10" t="s">
        <v>443</v>
      </c>
      <c r="D6" s="10" t="s">
        <v>444</v>
      </c>
      <c r="E6" s="10" t="s">
        <v>445</v>
      </c>
      <c r="F6" s="10" t="s">
        <v>74</v>
      </c>
      <c r="G6" s="10" t="s">
        <v>446</v>
      </c>
      <c r="H6" s="10" t="s">
        <v>42</v>
      </c>
      <c r="I6" s="11" t="s">
        <v>447</v>
      </c>
    </row>
    <row r="7" spans="1:9" ht="27.6">
      <c r="A7" s="9" t="s">
        <v>448</v>
      </c>
      <c r="B7" s="10" t="s">
        <v>449</v>
      </c>
      <c r="C7" s="10" t="s">
        <v>450</v>
      </c>
      <c r="D7" s="10" t="s">
        <v>451</v>
      </c>
      <c r="E7" s="10" t="s">
        <v>452</v>
      </c>
      <c r="F7" s="10" t="s">
        <v>74</v>
      </c>
      <c r="G7" s="10" t="s">
        <v>453</v>
      </c>
      <c r="H7" s="10" t="s">
        <v>42</v>
      </c>
      <c r="I7" s="11" t="s">
        <v>454</v>
      </c>
    </row>
    <row r="8" spans="1:9" ht="27.6">
      <c r="A8" s="9" t="s">
        <v>455</v>
      </c>
      <c r="B8" s="10" t="s">
        <v>456</v>
      </c>
      <c r="C8" s="10" t="s">
        <v>457</v>
      </c>
      <c r="D8" s="10" t="s">
        <v>458</v>
      </c>
      <c r="E8" s="10" t="s">
        <v>459</v>
      </c>
      <c r="F8" s="10" t="s">
        <v>74</v>
      </c>
      <c r="G8" s="10" t="s">
        <v>460</v>
      </c>
      <c r="H8" s="10" t="s">
        <v>42</v>
      </c>
      <c r="I8" s="11" t="s">
        <v>423</v>
      </c>
    </row>
    <row r="9" spans="1:9" ht="27.6">
      <c r="A9" s="9" t="s">
        <v>461</v>
      </c>
      <c r="B9" s="10" t="s">
        <v>456</v>
      </c>
      <c r="C9" s="10" t="s">
        <v>462</v>
      </c>
      <c r="D9" s="10" t="s">
        <v>463</v>
      </c>
      <c r="E9" s="10" t="s">
        <v>464</v>
      </c>
      <c r="F9" s="10" t="s">
        <v>74</v>
      </c>
      <c r="G9" s="10" t="s">
        <v>465</v>
      </c>
      <c r="H9" s="10" t="s">
        <v>42</v>
      </c>
      <c r="I9" s="11" t="s">
        <v>423</v>
      </c>
    </row>
    <row r="10" spans="1:9" ht="41.4">
      <c r="A10" s="9" t="s">
        <v>466</v>
      </c>
      <c r="B10" s="10" t="s">
        <v>456</v>
      </c>
      <c r="C10" s="10" t="s">
        <v>467</v>
      </c>
      <c r="D10" s="10" t="s">
        <v>468</v>
      </c>
      <c r="E10" s="10" t="s">
        <v>469</v>
      </c>
      <c r="F10" s="10" t="s">
        <v>74</v>
      </c>
      <c r="G10" s="10" t="s">
        <v>470</v>
      </c>
      <c r="H10" s="10" t="s">
        <v>42</v>
      </c>
      <c r="I10" s="11" t="s">
        <v>423</v>
      </c>
    </row>
    <row r="11" spans="1:9" ht="27.6">
      <c r="A11" s="9" t="s">
        <v>471</v>
      </c>
      <c r="B11" s="10" t="s">
        <v>456</v>
      </c>
      <c r="C11" s="10" t="s">
        <v>472</v>
      </c>
      <c r="D11" s="10" t="s">
        <v>473</v>
      </c>
      <c r="E11" s="10" t="s">
        <v>474</v>
      </c>
      <c r="F11" s="10" t="s">
        <v>74</v>
      </c>
      <c r="G11" s="10" t="s">
        <v>475</v>
      </c>
      <c r="H11" s="10" t="s">
        <v>42</v>
      </c>
      <c r="I11" s="11" t="s">
        <v>476</v>
      </c>
    </row>
    <row r="12" spans="1:9" ht="41.4">
      <c r="A12" s="9" t="s">
        <v>477</v>
      </c>
      <c r="B12" s="10" t="s">
        <v>478</v>
      </c>
      <c r="C12" s="10" t="s">
        <v>479</v>
      </c>
      <c r="D12" s="10" t="s">
        <v>480</v>
      </c>
      <c r="E12" s="10" t="s">
        <v>481</v>
      </c>
      <c r="F12" s="10" t="s">
        <v>74</v>
      </c>
      <c r="G12" s="10" t="s">
        <v>482</v>
      </c>
      <c r="H12" s="10" t="s">
        <v>42</v>
      </c>
      <c r="I12" s="11" t="s">
        <v>483</v>
      </c>
    </row>
    <row r="13" spans="1:9" ht="41.4">
      <c r="A13" s="9" t="s">
        <v>484</v>
      </c>
      <c r="B13" s="10" t="s">
        <v>485</v>
      </c>
      <c r="C13" s="10" t="s">
        <v>486</v>
      </c>
      <c r="D13" s="10" t="s">
        <v>487</v>
      </c>
      <c r="E13" s="10" t="s">
        <v>488</v>
      </c>
      <c r="F13" s="10" t="s">
        <v>74</v>
      </c>
      <c r="G13" s="10" t="s">
        <v>489</v>
      </c>
      <c r="H13" s="10" t="s">
        <v>42</v>
      </c>
      <c r="I13" s="11" t="s">
        <v>423</v>
      </c>
    </row>
    <row r="14" spans="1:9" ht="27.6">
      <c r="A14" s="9" t="s">
        <v>490</v>
      </c>
      <c r="B14" s="10" t="s">
        <v>485</v>
      </c>
      <c r="C14" s="10" t="s">
        <v>491</v>
      </c>
      <c r="D14" s="10" t="s">
        <v>492</v>
      </c>
      <c r="E14" s="10" t="s">
        <v>493</v>
      </c>
      <c r="F14" s="10" t="s">
        <v>74</v>
      </c>
      <c r="G14" s="10" t="s">
        <v>494</v>
      </c>
      <c r="H14" s="10" t="s">
        <v>42</v>
      </c>
      <c r="I14" s="11" t="s">
        <v>423</v>
      </c>
    </row>
    <row r="15" spans="1:9" ht="41.4">
      <c r="A15" s="9" t="s">
        <v>495</v>
      </c>
      <c r="B15" s="10" t="s">
        <v>496</v>
      </c>
      <c r="C15" s="10" t="s">
        <v>497</v>
      </c>
      <c r="D15" s="10" t="s">
        <v>498</v>
      </c>
      <c r="E15" s="10" t="s">
        <v>499</v>
      </c>
      <c r="F15" s="10" t="s">
        <v>74</v>
      </c>
      <c r="G15" s="10" t="s">
        <v>500</v>
      </c>
      <c r="H15" s="10" t="s">
        <v>33</v>
      </c>
      <c r="I15" s="11" t="s">
        <v>501</v>
      </c>
    </row>
    <row r="16" spans="1:9" ht="41.4">
      <c r="A16" s="9" t="s">
        <v>502</v>
      </c>
      <c r="B16" s="10" t="s">
        <v>503</v>
      </c>
      <c r="C16" s="10" t="s">
        <v>504</v>
      </c>
      <c r="D16" s="10" t="s">
        <v>505</v>
      </c>
      <c r="E16" s="10" t="s">
        <v>506</v>
      </c>
      <c r="F16" s="10" t="s">
        <v>74</v>
      </c>
      <c r="G16" s="10" t="s">
        <v>507</v>
      </c>
      <c r="H16" s="10" t="s">
        <v>45</v>
      </c>
      <c r="I16" s="11" t="s">
        <v>508</v>
      </c>
    </row>
    <row r="17" spans="1:9" ht="27.6">
      <c r="A17" s="9" t="s">
        <v>509</v>
      </c>
      <c r="B17" s="10" t="s">
        <v>510</v>
      </c>
      <c r="C17" s="10" t="s">
        <v>511</v>
      </c>
      <c r="D17" s="10" t="s">
        <v>512</v>
      </c>
      <c r="E17" s="10" t="s">
        <v>513</v>
      </c>
      <c r="F17" s="10" t="s">
        <v>106</v>
      </c>
      <c r="G17" s="10" t="s">
        <v>514</v>
      </c>
      <c r="H17" s="10" t="s">
        <v>45</v>
      </c>
      <c r="I17" s="11" t="s">
        <v>515</v>
      </c>
    </row>
    <row r="18" spans="1:9" ht="41.4">
      <c r="A18" s="9" t="s">
        <v>516</v>
      </c>
      <c r="B18" s="10" t="s">
        <v>517</v>
      </c>
      <c r="C18" s="10" t="s">
        <v>518</v>
      </c>
      <c r="D18" s="10" t="s">
        <v>519</v>
      </c>
      <c r="E18" s="10" t="s">
        <v>520</v>
      </c>
      <c r="F18" s="10" t="s">
        <v>74</v>
      </c>
      <c r="G18" s="10" t="s">
        <v>521</v>
      </c>
      <c r="H18" s="10" t="s">
        <v>45</v>
      </c>
      <c r="I18" s="11" t="s">
        <v>522</v>
      </c>
    </row>
    <row r="19" spans="1:9" ht="27.6">
      <c r="A19" s="9" t="s">
        <v>523</v>
      </c>
      <c r="B19" s="10" t="s">
        <v>524</v>
      </c>
      <c r="C19" s="10" t="s">
        <v>525</v>
      </c>
      <c r="D19" s="10" t="s">
        <v>526</v>
      </c>
      <c r="E19" s="10" t="s">
        <v>527</v>
      </c>
      <c r="F19" s="10" t="s">
        <v>292</v>
      </c>
      <c r="G19" s="10" t="s">
        <v>528</v>
      </c>
      <c r="H19" s="10" t="s">
        <v>529</v>
      </c>
      <c r="I19" s="11" t="s">
        <v>530</v>
      </c>
    </row>
    <row r="20" spans="1:9" ht="27.6">
      <c r="A20" s="9" t="s">
        <v>531</v>
      </c>
      <c r="B20" s="10" t="s">
        <v>418</v>
      </c>
      <c r="C20" s="10" t="s">
        <v>532</v>
      </c>
      <c r="D20" s="10" t="s">
        <v>533</v>
      </c>
      <c r="E20" s="10" t="s">
        <v>534</v>
      </c>
      <c r="F20" s="10" t="s">
        <v>292</v>
      </c>
      <c r="G20" s="10" t="s">
        <v>535</v>
      </c>
      <c r="H20" s="10" t="s">
        <v>529</v>
      </c>
      <c r="I20" s="11" t="s">
        <v>536</v>
      </c>
    </row>
    <row r="21" spans="1:9" ht="27.6">
      <c r="A21" s="12" t="s">
        <v>537</v>
      </c>
      <c r="B21" s="13" t="s">
        <v>538</v>
      </c>
      <c r="C21" s="13" t="s">
        <v>539</v>
      </c>
      <c r="D21" s="13" t="s">
        <v>540</v>
      </c>
      <c r="E21" s="13" t="s">
        <v>541</v>
      </c>
      <c r="F21" s="13" t="s">
        <v>292</v>
      </c>
      <c r="G21" s="13" t="s">
        <v>542</v>
      </c>
      <c r="H21" s="13" t="s">
        <v>529</v>
      </c>
      <c r="I21" s="14" t="s">
        <v>543</v>
      </c>
    </row>
  </sheetData>
  <conditionalFormatting sqref="H2:H21">
    <cfRule type="expression" dxfId="4" priority="1">
      <formula>H2="Done"</formula>
    </cfRule>
    <cfRule type="expression" dxfId="3" priority="2">
      <formula>H2="Scope Review"</formula>
    </cfRule>
    <cfRule type="expression" dxfId="2" priority="3">
      <formula>H2="Deferred (V1.1)"</formula>
    </cfRule>
  </conditionalFormatting>
  <dataValidations count="2">
    <dataValidation type="list" sqref="F2:F21" xr:uid="{00000000-0002-0000-0200-000000000000}">
      <formula1>"P1,P2,P3"</formula1>
    </dataValidation>
    <dataValidation type="list" sqref="H2:H21" xr:uid="{00000000-0002-0000-0200-000001000000}">
      <formula1>"Todo,In Progress,Done,Partially Done,Needs Rework,Blocked,Scope Review,Deferred (V1.1)"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4"/>
  <sheetViews>
    <sheetView topLeftCell="A7" workbookViewId="0"/>
  </sheetViews>
  <sheetFormatPr defaultRowHeight="13.8"/>
  <cols>
    <col min="1" max="1" width="12" customWidth="1"/>
    <col min="2" max="2" width="34" customWidth="1"/>
    <col min="3" max="3" width="48" customWidth="1"/>
    <col min="4" max="4" width="60" customWidth="1"/>
    <col min="5" max="5" width="10" customWidth="1"/>
    <col min="6" max="6" width="8" customWidth="1"/>
    <col min="7" max="7" width="12" customWidth="1"/>
    <col min="8" max="8" width="16" customWidth="1"/>
    <col min="9" max="9" width="42" customWidth="1"/>
  </cols>
  <sheetData>
    <row r="1" spans="1:9" ht="105">
      <c r="A1" s="21" t="s">
        <v>544</v>
      </c>
      <c r="B1" s="21"/>
      <c r="C1" s="21"/>
      <c r="D1" s="21"/>
      <c r="E1" s="21"/>
      <c r="F1" s="21"/>
      <c r="G1" s="21"/>
      <c r="H1" s="21"/>
      <c r="I1" s="21"/>
    </row>
    <row r="2" spans="1:9" ht="110.4">
      <c r="A2" s="22" t="s">
        <v>545</v>
      </c>
      <c r="B2" s="22"/>
      <c r="C2" s="22"/>
      <c r="D2" s="22"/>
      <c r="E2" s="22"/>
      <c r="F2" s="22"/>
      <c r="G2" s="22"/>
      <c r="H2" s="22"/>
      <c r="I2" s="22"/>
    </row>
    <row r="3" spans="1:9">
      <c r="A3" s="10"/>
      <c r="B3" s="10"/>
      <c r="C3" s="10"/>
      <c r="D3" s="10"/>
      <c r="E3" s="10"/>
      <c r="F3" s="10"/>
      <c r="G3" s="10"/>
      <c r="H3" s="10"/>
      <c r="I3" s="10"/>
    </row>
    <row r="4" spans="1:9">
      <c r="A4" s="20" t="s">
        <v>58</v>
      </c>
      <c r="B4" s="20" t="s">
        <v>546</v>
      </c>
      <c r="C4" s="20" t="s">
        <v>547</v>
      </c>
      <c r="D4" s="20" t="s">
        <v>62</v>
      </c>
      <c r="E4" s="20" t="s">
        <v>64</v>
      </c>
      <c r="F4" s="20" t="s">
        <v>28</v>
      </c>
      <c r="G4" s="20" t="s">
        <v>548</v>
      </c>
      <c r="H4" s="20" t="s">
        <v>415</v>
      </c>
      <c r="I4" s="20" t="s">
        <v>549</v>
      </c>
    </row>
    <row r="5" spans="1:9" ht="27.6">
      <c r="A5" s="6" t="s">
        <v>550</v>
      </c>
      <c r="B5" s="7" t="s">
        <v>551</v>
      </c>
      <c r="C5" s="7" t="s">
        <v>552</v>
      </c>
      <c r="D5" s="7" t="s">
        <v>553</v>
      </c>
      <c r="E5" s="7" t="s">
        <v>74</v>
      </c>
      <c r="F5" s="7">
        <v>2</v>
      </c>
      <c r="G5" s="7" t="s">
        <v>554</v>
      </c>
      <c r="H5" s="7" t="s">
        <v>30</v>
      </c>
      <c r="I5" s="8"/>
    </row>
    <row r="6" spans="1:9" ht="27.6">
      <c r="A6" s="9" t="s">
        <v>555</v>
      </c>
      <c r="B6" s="10" t="s">
        <v>551</v>
      </c>
      <c r="C6" s="10" t="s">
        <v>556</v>
      </c>
      <c r="D6" s="10" t="s">
        <v>557</v>
      </c>
      <c r="E6" s="10" t="s">
        <v>74</v>
      </c>
      <c r="F6" s="10">
        <v>5</v>
      </c>
      <c r="G6" s="10" t="s">
        <v>554</v>
      </c>
      <c r="H6" s="10" t="s">
        <v>30</v>
      </c>
      <c r="I6" s="11"/>
    </row>
    <row r="7" spans="1:9" ht="27.6">
      <c r="A7" s="9" t="s">
        <v>558</v>
      </c>
      <c r="B7" s="10" t="s">
        <v>551</v>
      </c>
      <c r="C7" s="10" t="s">
        <v>559</v>
      </c>
      <c r="D7" s="10" t="s">
        <v>560</v>
      </c>
      <c r="E7" s="10" t="s">
        <v>106</v>
      </c>
      <c r="F7" s="10">
        <v>1</v>
      </c>
      <c r="G7" s="10" t="s">
        <v>554</v>
      </c>
      <c r="H7" s="10" t="s">
        <v>30</v>
      </c>
      <c r="I7" s="11"/>
    </row>
    <row r="8" spans="1:9" ht="27.6">
      <c r="A8" s="9" t="s">
        <v>561</v>
      </c>
      <c r="B8" s="10" t="s">
        <v>551</v>
      </c>
      <c r="C8" s="10" t="s">
        <v>562</v>
      </c>
      <c r="D8" s="10" t="s">
        <v>563</v>
      </c>
      <c r="E8" s="10" t="s">
        <v>74</v>
      </c>
      <c r="F8" s="10">
        <v>2</v>
      </c>
      <c r="G8" s="10" t="s">
        <v>554</v>
      </c>
      <c r="H8" s="10" t="s">
        <v>30</v>
      </c>
      <c r="I8" s="11"/>
    </row>
    <row r="9" spans="1:9" ht="27.6">
      <c r="A9" s="9" t="s">
        <v>564</v>
      </c>
      <c r="B9" s="10" t="s">
        <v>551</v>
      </c>
      <c r="C9" s="10" t="s">
        <v>565</v>
      </c>
      <c r="D9" s="10" t="s">
        <v>566</v>
      </c>
      <c r="E9" s="10" t="s">
        <v>74</v>
      </c>
      <c r="F9" s="10">
        <v>3</v>
      </c>
      <c r="G9" s="10" t="s">
        <v>554</v>
      </c>
      <c r="H9" s="10" t="s">
        <v>30</v>
      </c>
      <c r="I9" s="11"/>
    </row>
    <row r="10" spans="1:9" ht="27.6">
      <c r="A10" s="9" t="s">
        <v>567</v>
      </c>
      <c r="B10" s="10" t="s">
        <v>551</v>
      </c>
      <c r="C10" s="10" t="s">
        <v>568</v>
      </c>
      <c r="D10" s="10" t="s">
        <v>569</v>
      </c>
      <c r="E10" s="10" t="s">
        <v>74</v>
      </c>
      <c r="F10" s="10">
        <v>3</v>
      </c>
      <c r="G10" s="10" t="s">
        <v>554</v>
      </c>
      <c r="H10" s="10" t="s">
        <v>30</v>
      </c>
      <c r="I10" s="11"/>
    </row>
    <row r="11" spans="1:9" ht="27.6">
      <c r="A11" s="9" t="s">
        <v>570</v>
      </c>
      <c r="B11" s="10" t="s">
        <v>571</v>
      </c>
      <c r="C11" s="10" t="s">
        <v>572</v>
      </c>
      <c r="D11" s="10" t="s">
        <v>573</v>
      </c>
      <c r="E11" s="10" t="s">
        <v>106</v>
      </c>
      <c r="F11" s="10">
        <v>3</v>
      </c>
      <c r="G11" s="10" t="s">
        <v>554</v>
      </c>
      <c r="H11" s="10" t="s">
        <v>30</v>
      </c>
      <c r="I11" s="11"/>
    </row>
    <row r="12" spans="1:9" ht="27.6">
      <c r="A12" s="9" t="s">
        <v>574</v>
      </c>
      <c r="B12" s="10" t="s">
        <v>571</v>
      </c>
      <c r="C12" s="10" t="s">
        <v>575</v>
      </c>
      <c r="D12" s="10" t="s">
        <v>576</v>
      </c>
      <c r="E12" s="10" t="s">
        <v>106</v>
      </c>
      <c r="F12" s="10">
        <v>2</v>
      </c>
      <c r="G12" s="10" t="s">
        <v>554</v>
      </c>
      <c r="H12" s="10" t="s">
        <v>30</v>
      </c>
      <c r="I12" s="11"/>
    </row>
    <row r="13" spans="1:9" ht="27.6">
      <c r="A13" s="9" t="s">
        <v>577</v>
      </c>
      <c r="B13" s="10" t="s">
        <v>571</v>
      </c>
      <c r="C13" s="10" t="s">
        <v>578</v>
      </c>
      <c r="D13" s="10" t="s">
        <v>579</v>
      </c>
      <c r="E13" s="10" t="s">
        <v>106</v>
      </c>
      <c r="F13" s="10">
        <v>2</v>
      </c>
      <c r="G13" s="10" t="s">
        <v>580</v>
      </c>
      <c r="H13" s="10" t="s">
        <v>42</v>
      </c>
      <c r="I13" s="11"/>
    </row>
    <row r="14" spans="1:9" ht="27.6">
      <c r="A14" s="9" t="s">
        <v>581</v>
      </c>
      <c r="B14" s="10" t="s">
        <v>571</v>
      </c>
      <c r="C14" s="10" t="s">
        <v>582</v>
      </c>
      <c r="D14" s="10" t="s">
        <v>583</v>
      </c>
      <c r="E14" s="10" t="s">
        <v>292</v>
      </c>
      <c r="F14" s="10">
        <v>3</v>
      </c>
      <c r="G14" s="10" t="s">
        <v>580</v>
      </c>
      <c r="H14" s="10" t="s">
        <v>42</v>
      </c>
      <c r="I14" s="11"/>
    </row>
    <row r="15" spans="1:9">
      <c r="A15" s="9" t="s">
        <v>584</v>
      </c>
      <c r="B15" s="10" t="s">
        <v>571</v>
      </c>
      <c r="C15" s="10" t="s">
        <v>585</v>
      </c>
      <c r="D15" s="10" t="s">
        <v>586</v>
      </c>
      <c r="E15" s="10" t="s">
        <v>292</v>
      </c>
      <c r="F15" s="10">
        <v>2</v>
      </c>
      <c r="G15" s="10" t="s">
        <v>580</v>
      </c>
      <c r="H15" s="10" t="s">
        <v>42</v>
      </c>
      <c r="I15" s="11"/>
    </row>
    <row r="16" spans="1:9" ht="27.6">
      <c r="A16" s="9" t="s">
        <v>587</v>
      </c>
      <c r="B16" s="10" t="s">
        <v>588</v>
      </c>
      <c r="C16" s="10" t="s">
        <v>589</v>
      </c>
      <c r="D16" s="10" t="s">
        <v>590</v>
      </c>
      <c r="E16" s="10" t="s">
        <v>74</v>
      </c>
      <c r="F16" s="10">
        <v>3</v>
      </c>
      <c r="G16" s="10" t="s">
        <v>554</v>
      </c>
      <c r="H16" s="10" t="s">
        <v>30</v>
      </c>
      <c r="I16" s="11"/>
    </row>
    <row r="17" spans="1:9" ht="27.6">
      <c r="A17" s="9" t="s">
        <v>591</v>
      </c>
      <c r="B17" s="10" t="s">
        <v>588</v>
      </c>
      <c r="C17" s="10" t="s">
        <v>592</v>
      </c>
      <c r="D17" s="10" t="s">
        <v>593</v>
      </c>
      <c r="E17" s="10" t="s">
        <v>74</v>
      </c>
      <c r="F17" s="10">
        <v>3</v>
      </c>
      <c r="G17" s="10" t="s">
        <v>554</v>
      </c>
      <c r="H17" s="10" t="s">
        <v>30</v>
      </c>
      <c r="I17" s="11"/>
    </row>
    <row r="18" spans="1:9" ht="27.6">
      <c r="A18" s="9" t="s">
        <v>594</v>
      </c>
      <c r="B18" s="10" t="s">
        <v>588</v>
      </c>
      <c r="C18" s="10" t="s">
        <v>595</v>
      </c>
      <c r="D18" s="10" t="s">
        <v>596</v>
      </c>
      <c r="E18" s="10" t="s">
        <v>74</v>
      </c>
      <c r="F18" s="10">
        <v>3</v>
      </c>
      <c r="G18" s="10" t="s">
        <v>580</v>
      </c>
      <c r="H18" s="10" t="s">
        <v>30</v>
      </c>
      <c r="I18" s="11"/>
    </row>
    <row r="19" spans="1:9" ht="27.6">
      <c r="A19" s="9" t="s">
        <v>597</v>
      </c>
      <c r="B19" s="10" t="s">
        <v>588</v>
      </c>
      <c r="C19" s="10" t="s">
        <v>598</v>
      </c>
      <c r="D19" s="10" t="s">
        <v>599</v>
      </c>
      <c r="E19" s="10" t="s">
        <v>74</v>
      </c>
      <c r="F19" s="10">
        <v>2</v>
      </c>
      <c r="G19" s="10" t="s">
        <v>580</v>
      </c>
      <c r="H19" s="10" t="s">
        <v>30</v>
      </c>
      <c r="I19" s="11"/>
    </row>
    <row r="20" spans="1:9">
      <c r="A20" s="9" t="s">
        <v>600</v>
      </c>
      <c r="B20" s="10" t="s">
        <v>588</v>
      </c>
      <c r="C20" s="10" t="s">
        <v>601</v>
      </c>
      <c r="D20" s="10" t="s">
        <v>602</v>
      </c>
      <c r="E20" s="10" t="s">
        <v>106</v>
      </c>
      <c r="F20" s="10">
        <v>2</v>
      </c>
      <c r="G20" s="10" t="s">
        <v>580</v>
      </c>
      <c r="H20" s="10" t="s">
        <v>30</v>
      </c>
      <c r="I20" s="11"/>
    </row>
    <row r="21" spans="1:9" ht="27.6">
      <c r="A21" s="9" t="s">
        <v>603</v>
      </c>
      <c r="B21" s="10" t="s">
        <v>604</v>
      </c>
      <c r="C21" s="10" t="s">
        <v>605</v>
      </c>
      <c r="D21" s="10" t="s">
        <v>606</v>
      </c>
      <c r="E21" s="10" t="s">
        <v>74</v>
      </c>
      <c r="F21" s="10">
        <v>4</v>
      </c>
      <c r="G21" s="10" t="s">
        <v>580</v>
      </c>
      <c r="H21" s="10" t="s">
        <v>30</v>
      </c>
      <c r="I21" s="11"/>
    </row>
    <row r="22" spans="1:9" ht="27.6">
      <c r="A22" s="9" t="s">
        <v>607</v>
      </c>
      <c r="B22" s="10" t="s">
        <v>604</v>
      </c>
      <c r="C22" s="10" t="s">
        <v>608</v>
      </c>
      <c r="D22" s="10" t="s">
        <v>609</v>
      </c>
      <c r="E22" s="10" t="s">
        <v>74</v>
      </c>
      <c r="F22" s="10">
        <v>4</v>
      </c>
      <c r="G22" s="10" t="s">
        <v>580</v>
      </c>
      <c r="H22" s="10" t="s">
        <v>30</v>
      </c>
      <c r="I22" s="11"/>
    </row>
    <row r="23" spans="1:9" ht="27.6">
      <c r="A23" s="9" t="s">
        <v>610</v>
      </c>
      <c r="B23" s="10" t="s">
        <v>604</v>
      </c>
      <c r="C23" s="10" t="s">
        <v>611</v>
      </c>
      <c r="D23" s="10" t="s">
        <v>612</v>
      </c>
      <c r="E23" s="10" t="s">
        <v>74</v>
      </c>
      <c r="F23" s="10">
        <v>4</v>
      </c>
      <c r="G23" s="10" t="s">
        <v>580</v>
      </c>
      <c r="H23" s="10" t="s">
        <v>30</v>
      </c>
      <c r="I23" s="11"/>
    </row>
    <row r="24" spans="1:9" ht="27.6">
      <c r="A24" s="9" t="s">
        <v>613</v>
      </c>
      <c r="B24" s="10" t="s">
        <v>604</v>
      </c>
      <c r="C24" s="10" t="s">
        <v>614</v>
      </c>
      <c r="D24" s="10" t="s">
        <v>615</v>
      </c>
      <c r="E24" s="10" t="s">
        <v>74</v>
      </c>
      <c r="F24" s="10">
        <v>3</v>
      </c>
      <c r="G24" s="10" t="s">
        <v>616</v>
      </c>
      <c r="H24" s="10" t="s">
        <v>30</v>
      </c>
      <c r="I24" s="11"/>
    </row>
    <row r="25" spans="1:9" ht="27.6">
      <c r="A25" s="9" t="s">
        <v>617</v>
      </c>
      <c r="B25" s="10" t="s">
        <v>618</v>
      </c>
      <c r="C25" s="10" t="s">
        <v>619</v>
      </c>
      <c r="D25" s="10" t="s">
        <v>620</v>
      </c>
      <c r="E25" s="10" t="s">
        <v>74</v>
      </c>
      <c r="F25" s="10">
        <v>4</v>
      </c>
      <c r="G25" s="10" t="s">
        <v>580</v>
      </c>
      <c r="H25" s="10" t="s">
        <v>30</v>
      </c>
      <c r="I25" s="11"/>
    </row>
    <row r="26" spans="1:9" ht="27.6">
      <c r="A26" s="9" t="s">
        <v>621</v>
      </c>
      <c r="B26" s="10" t="s">
        <v>618</v>
      </c>
      <c r="C26" s="10" t="s">
        <v>622</v>
      </c>
      <c r="D26" s="10" t="s">
        <v>623</v>
      </c>
      <c r="E26" s="10" t="s">
        <v>74</v>
      </c>
      <c r="F26" s="10">
        <v>5</v>
      </c>
      <c r="G26" s="10" t="s">
        <v>616</v>
      </c>
      <c r="H26" s="10" t="s">
        <v>30</v>
      </c>
      <c r="I26" s="11"/>
    </row>
    <row r="27" spans="1:9" ht="27.6">
      <c r="A27" s="9" t="s">
        <v>624</v>
      </c>
      <c r="B27" s="10" t="s">
        <v>618</v>
      </c>
      <c r="C27" s="10" t="s">
        <v>625</v>
      </c>
      <c r="D27" s="10" t="s">
        <v>626</v>
      </c>
      <c r="E27" s="10" t="s">
        <v>74</v>
      </c>
      <c r="F27" s="10">
        <v>4</v>
      </c>
      <c r="G27" s="10" t="s">
        <v>616</v>
      </c>
      <c r="H27" s="10" t="s">
        <v>30</v>
      </c>
      <c r="I27" s="11"/>
    </row>
    <row r="28" spans="1:9" ht="27.6">
      <c r="A28" s="9" t="s">
        <v>627</v>
      </c>
      <c r="B28" s="10" t="s">
        <v>618</v>
      </c>
      <c r="C28" s="10" t="s">
        <v>628</v>
      </c>
      <c r="D28" s="10" t="s">
        <v>629</v>
      </c>
      <c r="E28" s="10" t="s">
        <v>106</v>
      </c>
      <c r="F28" s="10">
        <v>3</v>
      </c>
      <c r="G28" s="10" t="s">
        <v>616</v>
      </c>
      <c r="H28" s="10" t="s">
        <v>30</v>
      </c>
      <c r="I28" s="11"/>
    </row>
    <row r="29" spans="1:9" ht="27.6">
      <c r="A29" s="9" t="s">
        <v>630</v>
      </c>
      <c r="B29" s="10" t="s">
        <v>618</v>
      </c>
      <c r="C29" s="10" t="s">
        <v>631</v>
      </c>
      <c r="D29" s="10" t="s">
        <v>632</v>
      </c>
      <c r="E29" s="10" t="s">
        <v>106</v>
      </c>
      <c r="F29" s="10">
        <v>3</v>
      </c>
      <c r="G29" s="10" t="s">
        <v>616</v>
      </c>
      <c r="H29" s="10" t="s">
        <v>30</v>
      </c>
      <c r="I29" s="11"/>
    </row>
    <row r="30" spans="1:9" ht="27.6">
      <c r="A30" s="9" t="s">
        <v>633</v>
      </c>
      <c r="B30" s="10" t="s">
        <v>618</v>
      </c>
      <c r="C30" s="10" t="s">
        <v>634</v>
      </c>
      <c r="D30" s="10" t="s">
        <v>635</v>
      </c>
      <c r="E30" s="10" t="s">
        <v>106</v>
      </c>
      <c r="F30" s="10">
        <v>2</v>
      </c>
      <c r="G30" s="10" t="s">
        <v>636</v>
      </c>
      <c r="H30" s="10" t="s">
        <v>30</v>
      </c>
      <c r="I30" s="11"/>
    </row>
    <row r="31" spans="1:9" ht="27.6">
      <c r="A31" s="9" t="s">
        <v>637</v>
      </c>
      <c r="B31" s="10" t="s">
        <v>638</v>
      </c>
      <c r="C31" s="10" t="s">
        <v>639</v>
      </c>
      <c r="D31" s="10" t="s">
        <v>640</v>
      </c>
      <c r="E31" s="10" t="s">
        <v>106</v>
      </c>
      <c r="F31" s="10">
        <v>4</v>
      </c>
      <c r="G31" s="10" t="s">
        <v>616</v>
      </c>
      <c r="H31" s="10" t="s">
        <v>30</v>
      </c>
      <c r="I31" s="11"/>
    </row>
    <row r="32" spans="1:9" ht="27.6">
      <c r="A32" s="9" t="s">
        <v>641</v>
      </c>
      <c r="B32" s="10" t="s">
        <v>638</v>
      </c>
      <c r="C32" s="10" t="s">
        <v>642</v>
      </c>
      <c r="D32" s="10" t="s">
        <v>643</v>
      </c>
      <c r="E32" s="10" t="s">
        <v>292</v>
      </c>
      <c r="F32" s="10">
        <v>3</v>
      </c>
      <c r="G32" s="10" t="s">
        <v>636</v>
      </c>
      <c r="H32" s="10" t="s">
        <v>30</v>
      </c>
      <c r="I32" s="11"/>
    </row>
    <row r="33" spans="1:9" ht="27.6">
      <c r="A33" s="9" t="s">
        <v>644</v>
      </c>
      <c r="B33" s="10" t="s">
        <v>638</v>
      </c>
      <c r="C33" s="10" t="s">
        <v>645</v>
      </c>
      <c r="D33" s="10" t="s">
        <v>646</v>
      </c>
      <c r="E33" s="10" t="s">
        <v>106</v>
      </c>
      <c r="F33" s="10">
        <v>3</v>
      </c>
      <c r="G33" s="10" t="s">
        <v>636</v>
      </c>
      <c r="H33" s="10" t="s">
        <v>30</v>
      </c>
      <c r="I33" s="11"/>
    </row>
    <row r="34" spans="1:9" ht="27.6">
      <c r="A34" s="9" t="s">
        <v>647</v>
      </c>
      <c r="B34" s="10" t="s">
        <v>638</v>
      </c>
      <c r="C34" s="10" t="s">
        <v>648</v>
      </c>
      <c r="D34" s="10" t="s">
        <v>649</v>
      </c>
      <c r="E34" s="10" t="s">
        <v>106</v>
      </c>
      <c r="F34" s="10">
        <v>2</v>
      </c>
      <c r="G34" s="10" t="s">
        <v>636</v>
      </c>
      <c r="H34" s="10" t="s">
        <v>30</v>
      </c>
      <c r="I34" s="11"/>
    </row>
    <row r="35" spans="1:9" ht="27.6">
      <c r="A35" s="9" t="s">
        <v>650</v>
      </c>
      <c r="B35" s="10" t="s">
        <v>651</v>
      </c>
      <c r="C35" s="10" t="s">
        <v>652</v>
      </c>
      <c r="D35" s="10" t="s">
        <v>653</v>
      </c>
      <c r="E35" s="10" t="s">
        <v>74</v>
      </c>
      <c r="F35" s="10">
        <v>3</v>
      </c>
      <c r="G35" s="10" t="s">
        <v>616</v>
      </c>
      <c r="H35" s="10" t="s">
        <v>30</v>
      </c>
      <c r="I35" s="11"/>
    </row>
    <row r="36" spans="1:9" ht="27.6">
      <c r="A36" s="9" t="s">
        <v>654</v>
      </c>
      <c r="B36" s="10" t="s">
        <v>651</v>
      </c>
      <c r="C36" s="10" t="s">
        <v>655</v>
      </c>
      <c r="D36" s="10" t="s">
        <v>656</v>
      </c>
      <c r="E36" s="10" t="s">
        <v>74</v>
      </c>
      <c r="F36" s="10">
        <v>5</v>
      </c>
      <c r="G36" s="10" t="s">
        <v>616</v>
      </c>
      <c r="H36" s="10" t="s">
        <v>30</v>
      </c>
      <c r="I36" s="11"/>
    </row>
    <row r="37" spans="1:9" ht="27.6">
      <c r="A37" s="9" t="s">
        <v>657</v>
      </c>
      <c r="B37" s="10" t="s">
        <v>651</v>
      </c>
      <c r="C37" s="10" t="s">
        <v>658</v>
      </c>
      <c r="D37" s="10" t="s">
        <v>659</v>
      </c>
      <c r="E37" s="10" t="s">
        <v>74</v>
      </c>
      <c r="F37" s="10">
        <v>4</v>
      </c>
      <c r="G37" s="10" t="s">
        <v>616</v>
      </c>
      <c r="H37" s="10" t="s">
        <v>42</v>
      </c>
      <c r="I37" s="11"/>
    </row>
    <row r="38" spans="1:9" ht="27.6">
      <c r="A38" s="9" t="s">
        <v>660</v>
      </c>
      <c r="B38" s="10" t="s">
        <v>651</v>
      </c>
      <c r="C38" s="10" t="s">
        <v>661</v>
      </c>
      <c r="D38" s="10" t="s">
        <v>662</v>
      </c>
      <c r="E38" s="10" t="s">
        <v>74</v>
      </c>
      <c r="F38" s="10">
        <v>3</v>
      </c>
      <c r="G38" s="10" t="s">
        <v>636</v>
      </c>
      <c r="H38" s="10" t="s">
        <v>42</v>
      </c>
      <c r="I38" s="11"/>
    </row>
    <row r="39" spans="1:9" ht="27.6">
      <c r="A39" s="9" t="s">
        <v>663</v>
      </c>
      <c r="B39" s="10" t="s">
        <v>651</v>
      </c>
      <c r="C39" s="10" t="s">
        <v>664</v>
      </c>
      <c r="D39" s="10" t="s">
        <v>665</v>
      </c>
      <c r="E39" s="10" t="s">
        <v>106</v>
      </c>
      <c r="F39" s="10">
        <v>4</v>
      </c>
      <c r="G39" s="10" t="s">
        <v>636</v>
      </c>
      <c r="H39" s="10" t="s">
        <v>42</v>
      </c>
      <c r="I39" s="11"/>
    </row>
    <row r="40" spans="1:9" ht="27.6">
      <c r="A40" s="9" t="s">
        <v>666</v>
      </c>
      <c r="B40" s="10" t="s">
        <v>651</v>
      </c>
      <c r="C40" s="10" t="s">
        <v>667</v>
      </c>
      <c r="D40" s="10" t="s">
        <v>668</v>
      </c>
      <c r="E40" s="10" t="s">
        <v>106</v>
      </c>
      <c r="F40" s="10">
        <v>2</v>
      </c>
      <c r="G40" s="10" t="s">
        <v>636</v>
      </c>
      <c r="H40" s="10" t="s">
        <v>42</v>
      </c>
      <c r="I40" s="11"/>
    </row>
    <row r="41" spans="1:9" ht="27.6">
      <c r="A41" s="9" t="s">
        <v>669</v>
      </c>
      <c r="B41" s="10" t="s">
        <v>551</v>
      </c>
      <c r="C41" s="10" t="s">
        <v>670</v>
      </c>
      <c r="D41" s="10" t="s">
        <v>671</v>
      </c>
      <c r="E41" s="10" t="s">
        <v>106</v>
      </c>
      <c r="F41" s="10">
        <v>2</v>
      </c>
      <c r="G41" s="10" t="s">
        <v>636</v>
      </c>
      <c r="H41" s="10" t="s">
        <v>42</v>
      </c>
      <c r="I41" s="11"/>
    </row>
    <row r="42" spans="1:9" ht="27.6">
      <c r="A42" s="9" t="s">
        <v>672</v>
      </c>
      <c r="B42" s="10" t="s">
        <v>673</v>
      </c>
      <c r="C42" s="10" t="s">
        <v>674</v>
      </c>
      <c r="D42" s="10" t="s">
        <v>675</v>
      </c>
      <c r="E42" s="10" t="s">
        <v>74</v>
      </c>
      <c r="F42" s="10">
        <v>3</v>
      </c>
      <c r="G42" s="10" t="s">
        <v>554</v>
      </c>
      <c r="H42" s="10" t="s">
        <v>30</v>
      </c>
      <c r="I42" s="11"/>
    </row>
    <row r="43" spans="1:9" ht="27.6">
      <c r="A43" s="9" t="s">
        <v>676</v>
      </c>
      <c r="B43" s="10" t="s">
        <v>673</v>
      </c>
      <c r="C43" s="10" t="s">
        <v>677</v>
      </c>
      <c r="D43" s="10" t="s">
        <v>678</v>
      </c>
      <c r="E43" s="10" t="s">
        <v>74</v>
      </c>
      <c r="F43" s="10">
        <v>3</v>
      </c>
      <c r="G43" s="10" t="s">
        <v>554</v>
      </c>
      <c r="H43" s="10" t="s">
        <v>30</v>
      </c>
      <c r="I43" s="11"/>
    </row>
    <row r="44" spans="1:9" ht="27.6">
      <c r="A44" s="9" t="s">
        <v>679</v>
      </c>
      <c r="B44" s="10" t="s">
        <v>673</v>
      </c>
      <c r="C44" s="10" t="s">
        <v>680</v>
      </c>
      <c r="D44" s="10" t="s">
        <v>681</v>
      </c>
      <c r="E44" s="10" t="s">
        <v>74</v>
      </c>
      <c r="F44" s="10">
        <v>3</v>
      </c>
      <c r="G44" s="10" t="s">
        <v>554</v>
      </c>
      <c r="H44" s="10" t="s">
        <v>30</v>
      </c>
      <c r="I44" s="11"/>
    </row>
    <row r="45" spans="1:9" ht="27.6">
      <c r="A45" s="9" t="s">
        <v>682</v>
      </c>
      <c r="B45" s="10" t="s">
        <v>673</v>
      </c>
      <c r="C45" s="10" t="s">
        <v>683</v>
      </c>
      <c r="D45" s="10" t="s">
        <v>684</v>
      </c>
      <c r="E45" s="10" t="s">
        <v>74</v>
      </c>
      <c r="F45" s="10">
        <v>2</v>
      </c>
      <c r="G45" s="10" t="s">
        <v>554</v>
      </c>
      <c r="H45" s="10" t="s">
        <v>30</v>
      </c>
      <c r="I45" s="11"/>
    </row>
    <row r="46" spans="1:9" ht="27.6">
      <c r="A46" s="9" t="s">
        <v>685</v>
      </c>
      <c r="B46" s="10" t="s">
        <v>673</v>
      </c>
      <c r="C46" s="10" t="s">
        <v>686</v>
      </c>
      <c r="D46" s="10" t="s">
        <v>687</v>
      </c>
      <c r="E46" s="10" t="s">
        <v>74</v>
      </c>
      <c r="F46" s="10">
        <v>3</v>
      </c>
      <c r="G46" s="10" t="s">
        <v>554</v>
      </c>
      <c r="H46" s="10" t="s">
        <v>30</v>
      </c>
      <c r="I46" s="11"/>
    </row>
    <row r="47" spans="1:9" ht="27.6">
      <c r="A47" s="9" t="s">
        <v>688</v>
      </c>
      <c r="B47" s="10" t="s">
        <v>673</v>
      </c>
      <c r="C47" s="10" t="s">
        <v>689</v>
      </c>
      <c r="D47" s="10" t="s">
        <v>690</v>
      </c>
      <c r="E47" s="10" t="s">
        <v>106</v>
      </c>
      <c r="F47" s="10">
        <v>4</v>
      </c>
      <c r="G47" s="10" t="s">
        <v>580</v>
      </c>
      <c r="H47" s="10" t="s">
        <v>42</v>
      </c>
      <c r="I47" s="11"/>
    </row>
    <row r="48" spans="1:9" ht="27.6">
      <c r="A48" s="12" t="s">
        <v>691</v>
      </c>
      <c r="B48" s="13" t="s">
        <v>673</v>
      </c>
      <c r="C48" s="13" t="s">
        <v>692</v>
      </c>
      <c r="D48" s="13" t="s">
        <v>693</v>
      </c>
      <c r="E48" s="13" t="s">
        <v>74</v>
      </c>
      <c r="F48" s="13">
        <v>3</v>
      </c>
      <c r="G48" s="13" t="s">
        <v>554</v>
      </c>
      <c r="H48" s="13" t="s">
        <v>30</v>
      </c>
      <c r="I48" s="14"/>
    </row>
    <row r="49" spans="1:9" ht="27.6">
      <c r="A49" s="10" t="s">
        <v>694</v>
      </c>
      <c r="B49" s="10" t="s">
        <v>673</v>
      </c>
      <c r="C49" s="10" t="s">
        <v>695</v>
      </c>
      <c r="D49" s="10" t="s">
        <v>696</v>
      </c>
      <c r="E49" s="10" t="s">
        <v>106</v>
      </c>
      <c r="F49" s="10">
        <v>3</v>
      </c>
      <c r="G49" s="10" t="s">
        <v>580</v>
      </c>
      <c r="H49" s="10" t="s">
        <v>42</v>
      </c>
      <c r="I49" s="10"/>
    </row>
    <row r="50" spans="1:9">
      <c r="A50" s="10"/>
      <c r="B50" s="10"/>
      <c r="C50" s="10"/>
      <c r="D50" s="10"/>
      <c r="E50" s="10"/>
      <c r="F50" s="10"/>
      <c r="G50" s="10"/>
      <c r="H50" s="10"/>
      <c r="I50" s="10"/>
    </row>
    <row r="51" spans="1:9">
      <c r="A51" s="10"/>
      <c r="B51" s="10" t="s">
        <v>697</v>
      </c>
      <c r="C51" s="10"/>
      <c r="D51" s="10"/>
      <c r="E51" s="10"/>
      <c r="F51" s="10">
        <v>136</v>
      </c>
      <c r="G51" s="10"/>
      <c r="H51" s="10"/>
      <c r="I51" s="10"/>
    </row>
    <row r="52" spans="1:9">
      <c r="A52" s="10"/>
      <c r="B52" s="10" t="s">
        <v>698</v>
      </c>
      <c r="C52" s="10"/>
      <c r="D52" s="10"/>
      <c r="E52" s="10"/>
      <c r="F52" s="10">
        <v>35</v>
      </c>
      <c r="G52" s="10"/>
      <c r="H52" s="10"/>
      <c r="I52" s="10"/>
    </row>
    <row r="53" spans="1:9">
      <c r="A53" s="10"/>
      <c r="B53" s="10" t="s">
        <v>699</v>
      </c>
      <c r="C53" s="10"/>
      <c r="D53" s="10"/>
      <c r="E53" s="10"/>
      <c r="F53" s="10">
        <v>10</v>
      </c>
      <c r="G53" s="10"/>
      <c r="H53" s="10"/>
      <c r="I53" s="10"/>
    </row>
    <row r="54" spans="1:9">
      <c r="A54" s="10"/>
      <c r="B54" s="10" t="s">
        <v>700</v>
      </c>
      <c r="C54" s="10"/>
      <c r="D54" s="10"/>
      <c r="E54" s="10"/>
      <c r="F54" s="10">
        <v>107</v>
      </c>
      <c r="G54" s="10"/>
      <c r="H54" s="10"/>
      <c r="I54" s="10"/>
    </row>
  </sheetData>
  <conditionalFormatting sqref="H5:H48">
    <cfRule type="expression" dxfId="1" priority="1">
      <formula>H5="Done"</formula>
    </cfRule>
    <cfRule type="expression" dxfId="0" priority="2">
      <formula>H5="Todo"</formula>
    </cfRule>
  </conditionalFormatting>
  <dataValidations count="1">
    <dataValidation type="list" sqref="H5:H48" xr:uid="{00000000-0002-0000-0300-000000000000}">
      <formula1>"Done,Todo,In Progress,Blocked,Needs Rework,Deferred"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/>
  </sheetViews>
  <sheetFormatPr defaultRowHeight="13.8"/>
  <cols>
    <col min="1" max="1" width="12" customWidth="1"/>
    <col min="2" max="2" width="28" customWidth="1"/>
    <col min="3" max="3" width="62" customWidth="1"/>
    <col min="4" max="4" width="64" customWidth="1"/>
    <col min="5" max="5" width="14" customWidth="1"/>
    <col min="6" max="6" width="28" customWidth="1"/>
  </cols>
  <sheetData>
    <row r="1" spans="1:6">
      <c r="A1" s="5" t="s">
        <v>58</v>
      </c>
      <c r="B1" s="5" t="s">
        <v>701</v>
      </c>
      <c r="C1" s="5" t="s">
        <v>702</v>
      </c>
      <c r="D1" s="5" t="s">
        <v>703</v>
      </c>
      <c r="E1" s="5" t="s">
        <v>704</v>
      </c>
      <c r="F1" s="5" t="s">
        <v>414</v>
      </c>
    </row>
    <row r="2" spans="1:6" ht="41.4">
      <c r="A2" s="6" t="s">
        <v>705</v>
      </c>
      <c r="B2" s="7" t="s">
        <v>706</v>
      </c>
      <c r="C2" s="7" t="s">
        <v>707</v>
      </c>
      <c r="D2" s="7" t="s">
        <v>708</v>
      </c>
      <c r="E2" s="7" t="s">
        <v>709</v>
      </c>
      <c r="F2" s="8" t="s">
        <v>710</v>
      </c>
    </row>
    <row r="3" spans="1:6" ht="27.6">
      <c r="A3" s="9" t="s">
        <v>711</v>
      </c>
      <c r="B3" s="10" t="s">
        <v>712</v>
      </c>
      <c r="C3" s="10" t="s">
        <v>713</v>
      </c>
      <c r="D3" s="10" t="s">
        <v>714</v>
      </c>
      <c r="E3" s="10" t="s">
        <v>715</v>
      </c>
      <c r="F3" s="11" t="s">
        <v>716</v>
      </c>
    </row>
    <row r="4" spans="1:6" ht="27.6">
      <c r="A4" s="9" t="s">
        <v>717</v>
      </c>
      <c r="B4" s="10" t="s">
        <v>718</v>
      </c>
      <c r="C4" s="10" t="s">
        <v>719</v>
      </c>
      <c r="D4" s="10" t="s">
        <v>720</v>
      </c>
      <c r="E4" s="10" t="s">
        <v>715</v>
      </c>
      <c r="F4" s="11" t="s">
        <v>721</v>
      </c>
    </row>
    <row r="5" spans="1:6" ht="27.6">
      <c r="A5" s="9" t="s">
        <v>722</v>
      </c>
      <c r="B5" s="10" t="s">
        <v>723</v>
      </c>
      <c r="C5" s="10" t="s">
        <v>724</v>
      </c>
      <c r="D5" s="10" t="s">
        <v>725</v>
      </c>
      <c r="E5" s="10" t="s">
        <v>709</v>
      </c>
      <c r="F5" s="11" t="s">
        <v>726</v>
      </c>
    </row>
    <row r="6" spans="1:6" ht="41.4">
      <c r="A6" s="9" t="s">
        <v>727</v>
      </c>
      <c r="B6" s="10" t="s">
        <v>728</v>
      </c>
      <c r="C6" s="10" t="s">
        <v>729</v>
      </c>
      <c r="D6" s="10" t="s">
        <v>730</v>
      </c>
      <c r="E6" s="10" t="s">
        <v>709</v>
      </c>
      <c r="F6" s="11" t="s">
        <v>731</v>
      </c>
    </row>
    <row r="7" spans="1:6" ht="27.6">
      <c r="A7" s="9" t="s">
        <v>732</v>
      </c>
      <c r="B7" s="10" t="s">
        <v>733</v>
      </c>
      <c r="C7" s="10" t="s">
        <v>734</v>
      </c>
      <c r="D7" s="10" t="s">
        <v>735</v>
      </c>
      <c r="E7" s="10" t="s">
        <v>736</v>
      </c>
      <c r="F7" s="11" t="s">
        <v>716</v>
      </c>
    </row>
    <row r="8" spans="1:6" ht="27.6">
      <c r="A8" s="12" t="s">
        <v>737</v>
      </c>
      <c r="B8" s="13" t="s">
        <v>738</v>
      </c>
      <c r="C8" s="13" t="s">
        <v>739</v>
      </c>
      <c r="D8" s="13" t="s">
        <v>740</v>
      </c>
      <c r="E8" s="13" t="s">
        <v>741</v>
      </c>
      <c r="F8" s="14" t="s">
        <v>742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Backend V1</vt:lpstr>
      <vt:lpstr>Architecture Additions</vt:lpstr>
      <vt:lpstr>Existing Phase1</vt:lpstr>
      <vt:lpstr>Scope &amp; 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Sharma</dc:creator>
  <cp:lastModifiedBy>Ayan Sharma</cp:lastModifiedBy>
  <dcterms:created xsi:type="dcterms:W3CDTF">2026-08-19T10:23:33Z</dcterms:created>
  <dcterms:modified xsi:type="dcterms:W3CDTF">2026-08-19T10:23:33Z</dcterms:modified>
</cp:coreProperties>
</file>